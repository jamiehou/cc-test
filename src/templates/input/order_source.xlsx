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明细表" sheetId="1" r:id="rId1"/>
    <sheet name="明细表（20240116备查）" sheetId="4" state="hidden" r:id="rId2"/>
    <sheet name="汇总表" sheetId="2" r:id="rId3"/>
    <sheet name="lion grup" sheetId="6" r:id="rId4"/>
    <sheet name="PT Industri Kereta Api (INKA) " sheetId="20" r:id="rId5"/>
    <sheet name="PT Timah Tbk" sheetId="8" r:id="rId6"/>
    <sheet name="PT. Avia Avian, Tbk" sheetId="13" r:id="rId7"/>
    <sheet name="PT Prodia Widyahusada" sheetId="14" r:id="rId8"/>
    <sheet name="PT Promanufacture Indonesia" sheetId="18" r:id="rId9"/>
    <sheet name="SUPER JET GROUP" sheetId="12" r:id="rId10"/>
    <sheet name="2024年masindo汇总" sheetId="10" state="hidden" r:id="rId11"/>
    <sheet name="Agung Sedayu Group（977-1year）" sheetId="16" r:id="rId12"/>
  </sheets>
  <definedNames>
    <definedName name="_xlnm._FilterDatabase" localSheetId="0" hidden="1">明细表!$A$1:$T$6</definedName>
    <definedName name="_xlnm._FilterDatabase" localSheetId="1" hidden="1">'明细表（20240116备查）'!$A$1:$S$230</definedName>
    <definedName name="_xlnm._FilterDatabase" localSheetId="3" hidden="1">'lion grup'!$B$1:$G$98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<sst xmlns="http://schemas.openxmlformats.org/spreadsheetml/2006/main" count="2659" uniqueCount="940">
  <si>
    <t>Country/Area</t>
  </si>
  <si>
    <t>Distributor</t>
  </si>
  <si>
    <t>PO date</t>
  </si>
  <si>
    <t>PO Number</t>
  </si>
  <si>
    <t>End User Company Name</t>
  </si>
  <si>
    <t>Company Name（management platform）</t>
  </si>
  <si>
    <t>Administrator account</t>
  </si>
  <si>
    <t>Product</t>
  </si>
  <si>
    <t>License Type</t>
  </si>
  <si>
    <t>Period(Year)</t>
  </si>
  <si>
    <t>Unit Price</t>
  </si>
  <si>
    <t>Qty</t>
  </si>
  <si>
    <r>
      <rPr>
        <b/>
        <sz val="10"/>
        <color rgb="FF000000"/>
        <rFont val="Calibri"/>
        <charset val="134"/>
      </rPr>
      <t>Total amount</t>
    </r>
    <r>
      <rPr>
        <b/>
        <sz val="10"/>
        <color rgb="FF000000"/>
        <rFont val="汉仪书宋二KW"/>
        <charset val="134"/>
      </rPr>
      <t>（＄）</t>
    </r>
  </si>
  <si>
    <t>Invoice date</t>
  </si>
  <si>
    <t>Invoice NO</t>
  </si>
  <si>
    <t>PAIED</t>
  </si>
  <si>
    <t>license KEY/Redeem Code</t>
  </si>
  <si>
    <r>
      <rPr>
        <b/>
        <sz val="10"/>
        <color rgb="FF000000"/>
        <rFont val="汉仪书宋二KW"/>
        <charset val="134"/>
      </rPr>
      <t>原</t>
    </r>
    <r>
      <rPr>
        <b/>
        <sz val="10"/>
        <color rgb="FF000000"/>
        <rFont val="Calibri"/>
        <charset val="134"/>
      </rPr>
      <t>license KEY</t>
    </r>
    <r>
      <rPr>
        <b/>
        <sz val="10"/>
        <color rgb="FF000000"/>
        <rFont val="汉仪书宋二KW"/>
        <charset val="134"/>
      </rPr>
      <t>（或存在换码情况）</t>
    </r>
  </si>
  <si>
    <t>免激活序列号（国内）</t>
  </si>
  <si>
    <t>KSO-Sales</t>
  </si>
  <si>
    <t>管理账号</t>
  </si>
  <si>
    <t>Malaysia</t>
  </si>
  <si>
    <t>PROTONSONIC (M) SDN BHD</t>
  </si>
  <si>
    <t>PROTONSONIC  stock - 20260415</t>
  </si>
  <si>
    <t>WPS Office For Business(3Y)</t>
  </si>
  <si>
    <t>Rental</t>
  </si>
  <si>
    <t>02-PSB20260415002</t>
  </si>
  <si>
    <t>参考codelist</t>
  </si>
  <si>
    <t>Indonesia</t>
  </si>
  <si>
    <t>PT MASINDO MULTI PRATAMA</t>
  </si>
  <si>
    <t>Masindo  For Stock-20260415</t>
  </si>
  <si>
    <t>WPS Pro(1Y)</t>
  </si>
  <si>
    <t>02-PT MASINDO20260416001</t>
  </si>
  <si>
    <t>Thailand</t>
  </si>
  <si>
    <t>ICTgoworld(Thailand) Co., Ltd.</t>
  </si>
  <si>
    <t>Centercom Co.,Ltd.</t>
  </si>
  <si>
    <t>02-IGT20260416001</t>
  </si>
  <si>
    <t>98QLL-1O867-7AJIV-SDTGR-YW8A6-OZF4I</t>
  </si>
  <si>
    <t>AIMR DEVELOPMENT SDN BHD</t>
  </si>
  <si>
    <t>64WW9-96XBZ-QTISB-C2O9V-TVAPR</t>
  </si>
  <si>
    <t>Runner Industry (Thailand) Co., Ltd.</t>
  </si>
  <si>
    <t>WPS Office for Business(1Y)</t>
  </si>
  <si>
    <t>PHIMA-ZE2XZ-BFTSJ-WWZZO-A1VIX</t>
  </si>
  <si>
    <t>Russia</t>
  </si>
  <si>
    <t>COGITO SOFTWARE CO.,LIMITED</t>
  </si>
  <si>
    <t>Yuferov Pavel Yurevich</t>
  </si>
  <si>
    <t>02-Cogito20221206001</t>
  </si>
  <si>
    <t>NYJD9-GHB83-PXI4D-M6EIK-55X1G</t>
  </si>
  <si>
    <t>WPS Office For Business(lifetime)</t>
  </si>
  <si>
    <t>Lifetime</t>
  </si>
  <si>
    <t>02-PT MASINDO20211203001</t>
  </si>
  <si>
    <t>India</t>
  </si>
  <si>
    <t>Innovage Technology Solutions Pte Ltd</t>
  </si>
  <si>
    <t>Tamilnad Mercantile Bank Ltd.</t>
  </si>
  <si>
    <t>WPS Office For Business(1Y)</t>
  </si>
  <si>
    <t>02-ITS20221208002</t>
  </si>
  <si>
    <t>J5KK2-6G3UP-IUF66-3W87L-RAW1O</t>
  </si>
  <si>
    <t>SIANG PHARMACY SDN BHD</t>
  </si>
  <si>
    <t>02-PSB20221207002</t>
  </si>
  <si>
    <t>LWULB-GJ5CF-OGH8A-X896R-YISXM</t>
  </si>
  <si>
    <t>SYARIKAT ELEKTRIK SIANG SDN BHD</t>
  </si>
  <si>
    <t>02-PSB20221207001</t>
  </si>
  <si>
    <t>VZUK5-BLKJU-FSQBW-WNA42-LW7QF</t>
  </si>
  <si>
    <t>Bajaj Finance Limited</t>
  </si>
  <si>
    <t>02-ITS20221208001</t>
  </si>
  <si>
    <t>TWGGX-3PPAQ-YX2GT-FT3TP-JNB6H</t>
  </si>
  <si>
    <t>OOO "KDR"</t>
  </si>
  <si>
    <t>02-Cogito20221211001</t>
  </si>
  <si>
    <t>UM6V3-UOBQE-5IQFO-W6FZW-I95OY</t>
  </si>
  <si>
    <t>02-PT MASINDO20211212001</t>
  </si>
  <si>
    <t>US-Lab, Inc.（Systems 21 LLC.）</t>
  </si>
  <si>
    <t>PO Transgaz Ltd</t>
  </si>
  <si>
    <r>
      <rPr>
        <sz val="11"/>
        <color rgb="FF000000"/>
        <rFont val="Calibri"/>
        <charset val="134"/>
      </rPr>
      <t xml:space="preserve">02-INV20221128002 </t>
    </r>
    <r>
      <rPr>
        <sz val="11"/>
        <color rgb="FF000000"/>
        <rFont val="汉仪书宋二KW"/>
        <charset val="134"/>
      </rPr>
      <t>未找到，没有</t>
    </r>
    <r>
      <rPr>
        <sz val="11"/>
        <color rgb="FF000000"/>
        <rFont val="Calibri"/>
        <charset val="134"/>
      </rPr>
      <t>23</t>
    </r>
    <r>
      <rPr>
        <sz val="11"/>
        <color rgb="FF000000"/>
        <rFont val="汉仪书宋二KW"/>
        <charset val="134"/>
      </rPr>
      <t>年</t>
    </r>
    <r>
      <rPr>
        <sz val="11"/>
        <color rgb="FF000000"/>
        <rFont val="Calibri"/>
        <charset val="134"/>
      </rPr>
      <t>2</t>
    </r>
    <r>
      <rPr>
        <sz val="11"/>
        <color rgb="FF000000"/>
        <rFont val="汉仪书宋二KW"/>
        <charset val="134"/>
      </rPr>
      <t>月前的记录</t>
    </r>
  </si>
  <si>
    <t>J1J23-4FIT4-YZZI5-3HSDR-O9K5N</t>
  </si>
  <si>
    <t>Excellence Passion Group Co.,Ltd.</t>
  </si>
  <si>
    <t>MB Group Corporation CO.,LTD</t>
  </si>
  <si>
    <t>EXC-INV20221223001</t>
  </si>
  <si>
    <t>02-ITS20221223001</t>
  </si>
  <si>
    <t>SHTELL OOO</t>
  </si>
  <si>
    <t>02-INV20221223001</t>
  </si>
  <si>
    <t>AF4FB-CV2L7-TM9XV-X734X-Y2US7</t>
  </si>
  <si>
    <t>Belgium</t>
  </si>
  <si>
    <t>PROJECT VISION BVBA</t>
  </si>
  <si>
    <t>Pro-INV20221230001</t>
  </si>
  <si>
    <t>Singapore</t>
  </si>
  <si>
    <t>COMLAN INTERNATIONAL CO., LIMITED</t>
  </si>
  <si>
    <t>FARLIGHT PTE. LTD.</t>
  </si>
  <si>
    <t>WPS 365 for Business(3Y)</t>
  </si>
  <si>
    <t>CO-INV20221229001</t>
  </si>
  <si>
    <t>WPS Pro(3Y)</t>
  </si>
  <si>
    <t>02-PT MASINDO20211230001</t>
  </si>
  <si>
    <t>VNLNJ-5JQ4B-L8ZGJ-VYSBF-QHCPI</t>
  </si>
  <si>
    <t>BCM Electronics Corporation Sdn Bhd</t>
  </si>
  <si>
    <t>02-PSB20230105001</t>
  </si>
  <si>
    <t>JWVDU-A5T1X-P4Z3C-PH31S-3V5RU</t>
  </si>
  <si>
    <t>侯军</t>
  </si>
  <si>
    <t>Impulse LLC</t>
  </si>
  <si>
    <t>02-INV20230116001</t>
  </si>
  <si>
    <t>Weida (M) Bhd</t>
  </si>
  <si>
    <t>02-PSB20230116001</t>
  </si>
  <si>
    <r>
      <rPr>
        <sz val="11"/>
        <color rgb="FF000000"/>
        <rFont val="Calibri"/>
        <charset val="134"/>
      </rPr>
      <t xml:space="preserve">ActiveMedia 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Calibri"/>
        <charset val="134"/>
      </rPr>
      <t>Thailand) Co.,Ltd.</t>
    </r>
  </si>
  <si>
    <t>AI Energy Public Company</t>
  </si>
  <si>
    <t>02-Active20230129001</t>
  </si>
  <si>
    <t>MGW6G-VXDY5-6NI9T-WGVTY-J82DK</t>
  </si>
  <si>
    <t>SiS Distribution (Thailand) Public Company Limited</t>
  </si>
  <si>
    <t>Flash Express Company Limited</t>
  </si>
  <si>
    <t>02-SIS20230131001</t>
  </si>
  <si>
    <t>S1CLQ-6M5YX-P2DEF-EP2T5-TFB2H</t>
  </si>
  <si>
    <t>Directly</t>
  </si>
  <si>
    <t>Neuron Mobility Pte Ltd</t>
  </si>
  <si>
    <t>WPS 365 for Business(1Y)</t>
  </si>
  <si>
    <t>02-INV20230131001</t>
  </si>
  <si>
    <t>Kasemrad Ramkhamhaeng Hospital</t>
  </si>
  <si>
    <t>02-Active20230215001</t>
  </si>
  <si>
    <t>LF12J-XN99A-2FVJ8-M1DDZ-DLFM5</t>
  </si>
  <si>
    <t>Ruampat Chachoengsao Hospital</t>
  </si>
  <si>
    <t>02-Active20230209002</t>
  </si>
  <si>
    <t>BROZT-4L4TV-WQSIG-S34TF-9OP15</t>
  </si>
  <si>
    <t>PRASOFT IT SERVICES PVT. LTD.</t>
  </si>
  <si>
    <t>PRASOFT IT SERVICES PRIVATE LIMITED</t>
  </si>
  <si>
    <t>02-inv20230203001</t>
  </si>
  <si>
    <t>320个单独code</t>
  </si>
  <si>
    <t>茹丽丽</t>
  </si>
  <si>
    <t>S Leasing Co., Ltd.</t>
  </si>
  <si>
    <t>02-INV20230206001</t>
  </si>
  <si>
    <t>7IWYL-15ZR7-T3Z2G-1DLWO-USSDI</t>
  </si>
  <si>
    <t>Cathay Leasing Co.,Ltd.</t>
  </si>
  <si>
    <t>02-INV20230206002</t>
  </si>
  <si>
    <t>924J2-UQYE4-8LJDS-5BY9G-7YRJS</t>
  </si>
  <si>
    <t>待禁用</t>
  </si>
  <si>
    <t>Kasemrad International Hospital Rattanatibeth</t>
  </si>
  <si>
    <t>02-Active20230209001</t>
  </si>
  <si>
    <t>GRQFC-WWI9X-4YTKV-SPT29-6PK3R</t>
  </si>
  <si>
    <t>Sokolov Mihail Igorevich</t>
  </si>
  <si>
    <t>02-Cogito20230206001</t>
  </si>
  <si>
    <t>75P7V-ET2AG-VTHEP-8ED4G-ESQBI</t>
  </si>
  <si>
    <t>Power Line Engineering PCL.</t>
  </si>
  <si>
    <t>02-Active20230210001</t>
  </si>
  <si>
    <t>Y3NFC-819GX-MD4FI-25NG7-ZJCRQ</t>
  </si>
  <si>
    <t>Brazil</t>
  </si>
  <si>
    <t>TMOV</t>
  </si>
  <si>
    <t>tmov.com.br</t>
  </si>
  <si>
    <t>02-TMOV20230220001</t>
  </si>
  <si>
    <t>6VH4X-L55BZ-L6FRG-5Q6I6-LD8ZB</t>
  </si>
  <si>
    <t>Office of The Permanent Secretary, Ministry Of Justice.</t>
  </si>
  <si>
    <t>02-Active20230220002</t>
  </si>
  <si>
    <t>42G6I-BI5MK-2Z7HH-Q7ZZ1-7SU1W</t>
  </si>
  <si>
    <t>02-PT MASINDO20230215001</t>
  </si>
  <si>
    <t>AOHDV-SXG38-7NCLL-TKT66-GTPM8</t>
  </si>
  <si>
    <t>PT.Bank Pembangunan Daerah Kalimantan Barat</t>
  </si>
  <si>
    <t>02-PT MASINDO20230220001</t>
  </si>
  <si>
    <t>Tatiana Nikitina</t>
  </si>
  <si>
    <t>02-INV20230210001</t>
  </si>
  <si>
    <t>KCARX-HW1BA-T5K6Y-81P6W-HWLBW</t>
  </si>
  <si>
    <t>Thailand Post Co.,Ltd.</t>
  </si>
  <si>
    <t>WPS Office for Business(5Y)</t>
  </si>
  <si>
    <t>02-Active20230220001</t>
  </si>
  <si>
    <t>CFMPA-9HJ3S-TV332-ICWH5-MQNVO</t>
  </si>
  <si>
    <t>ComiJoy (China) Limited</t>
  </si>
  <si>
    <t>02-INV20230222001</t>
  </si>
  <si>
    <t>VITROX TECHNOLOGIES SDN BHD</t>
  </si>
  <si>
    <t>02-PSB20220303001</t>
  </si>
  <si>
    <t>OOO "AY SI ES KONSALTING"</t>
  </si>
  <si>
    <t>WPS Office Preview(1Y)</t>
  </si>
  <si>
    <t>02-cOGITO20230419001</t>
  </si>
  <si>
    <t>VHING-RIO5W-TR3RX-8YGEK-B5RV9</t>
  </si>
  <si>
    <t>📄Kingsoft Purchase Order PO20230310-382</t>
  </si>
  <si>
    <r>
      <rPr>
        <sz val="11"/>
        <color rgb="FF000000"/>
        <rFont val="汉仪书宋二KW"/>
        <charset val="134"/>
      </rPr>
      <t>财务找不到</t>
    </r>
    <r>
      <rPr>
        <sz val="11"/>
        <color rgb="FF000000"/>
        <rFont val="Calibri"/>
        <charset val="134"/>
      </rPr>
      <t>invoice</t>
    </r>
  </si>
  <si>
    <t>A6WES-G2GIM-C3KT1-125Y7-6QKL4</t>
  </si>
  <si>
    <t>02-ACTIVE20230316001</t>
  </si>
  <si>
    <t>98J5Z-Q5RSJ-F6X1Q-BSLA9-M5L34</t>
  </si>
  <si>
    <t>02-ACTIVE20230316002</t>
  </si>
  <si>
    <t>GGX8P-8UPLZ-XCOPN-NBV61-SUX6X</t>
  </si>
  <si>
    <t>02-ACTIVE20230324001</t>
  </si>
  <si>
    <t>9EXI6-GZJXO-GMG7B-L1F9W-Q9UQS</t>
  </si>
  <si>
    <t>USA</t>
  </si>
  <si>
    <t>sqsystems.com</t>
  </si>
  <si>
    <t>www.crisohio.org</t>
  </si>
  <si>
    <t>PT Lion Mentari Airlines</t>
  </si>
  <si>
    <t>02-ptmasindo20230324001</t>
  </si>
  <si>
    <r>
      <rPr>
        <sz val="11"/>
        <color rgb="FF000000"/>
        <rFont val="Calibri"/>
        <charset val="134"/>
      </rPr>
      <t>288BU-8AOGF-FQ5X9-V2X2C-ZK2OW-DJHW1-JJ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Calibri"/>
        <charset val="134"/>
      </rPr>
      <t>XZVCP-57WP9-MR4QB-9DWF9-799V2-2IA6K-9G</t>
    </r>
  </si>
  <si>
    <t>Prosper Titan Company Limited.</t>
  </si>
  <si>
    <t>02-ACTIVE20230407001</t>
  </si>
  <si>
    <t>WA38S-137OG-LKXKM-Z4O5B-4JSBC</t>
  </si>
  <si>
    <t>Euro Creations Co., Ltd.</t>
  </si>
  <si>
    <t>02-ACTIVE20230412001</t>
  </si>
  <si>
    <t>Sirlanka</t>
  </si>
  <si>
    <t>Avian Technologies (Pvt) Ltd</t>
  </si>
  <si>
    <t>📄Purchase Order  - RDB Bank</t>
  </si>
  <si>
    <t>RDB Bank</t>
  </si>
  <si>
    <t>02-Avian20230410001</t>
  </si>
  <si>
    <t>L112G-816U6-SBXJ9-S7BW6-TJ85I</t>
  </si>
  <si>
    <t>LLC "EOS</t>
  </si>
  <si>
    <t>02-cOGITO20230411001</t>
  </si>
  <si>
    <t>69LUV-MRAXI-T6Z3N-QEDFJ-CBXMZ</t>
  </si>
  <si>
    <t>02-ptmasindo20230411001</t>
  </si>
  <si>
    <t>CNOC5-XQ9KY-Y9KWD-LRK8L-EKWKT</t>
  </si>
  <si>
    <t>02-ptmasindo20230419001</t>
  </si>
  <si>
    <t>S Leasing Co.,Ltd.</t>
  </si>
  <si>
    <t>02-INV20230418001</t>
  </si>
  <si>
    <t>2744L-H2ZTG-F56P7-9UJQV-VZBFO</t>
  </si>
  <si>
    <t>Chile</t>
  </si>
  <si>
    <t>IESD</t>
  </si>
  <si>
    <t>XP638-MLZT8-I9V2U-U69D5-MFBZZ,GXD4O-JF7UG-XHXVK-ANYDM-Y4XUO</t>
  </si>
  <si>
    <t>STAR HEALTH AND ALLIED INSURANCE 
CO. LTD.</t>
  </si>
  <si>
    <t>02-INV20230421001</t>
  </si>
  <si>
    <t>RERGW-H669M-Z8IFM-IC894-RZFXO</t>
  </si>
  <si>
    <t>Cathay Leasing Co.,Ltd</t>
  </si>
  <si>
    <t>02-INV20230419001</t>
  </si>
  <si>
    <t>PPYEY-P8SYB-V4CQP-ELB37-ED6J5</t>
  </si>
  <si>
    <t>02-PSB20230420001</t>
  </si>
  <si>
    <t>Netherlands</t>
  </si>
  <si>
    <t>Xpeng European Holding</t>
  </si>
  <si>
    <t>📄2023042101- XPeng</t>
  </si>
  <si>
    <t>75PCW-9B7YU-AAATJ-5OHQU-5LJBE</t>
  </si>
  <si>
    <t>Department of Correction</t>
  </si>
  <si>
    <t>02-ACTIVE20230517001</t>
  </si>
  <si>
    <t>E2Q2C-WWXHK-UULY7-NA2A4-782KJ</t>
  </si>
  <si>
    <t>Veterans General Hospital</t>
  </si>
  <si>
    <t>02-ACTIVE20230517002</t>
  </si>
  <si>
    <t>9CFHQ-UB4RI-BQE8L-DGK2D-PZNO5</t>
  </si>
  <si>
    <t>Sino-Thai Engineering and Construction Public Company Limited</t>
  </si>
  <si>
    <t>02-INV20230427001</t>
  </si>
  <si>
    <t>VCH4U-A6Q9H-DUYJN-LU2WY-QLGKE</t>
  </si>
  <si>
    <t>内置序列号</t>
  </si>
  <si>
    <t>MANTRA SWITCHGEAR CO.,LTD</t>
  </si>
  <si>
    <t>02-SIS20230427001</t>
  </si>
  <si>
    <t>DCDDS-JHMX4-P1O3A-FE5M4-NIJNP</t>
  </si>
  <si>
    <t>Softline Company</t>
  </si>
  <si>
    <t>NILTASOFT LIM NILTASOFT LIMITEDITED</t>
  </si>
  <si>
    <t>02-Softline20230504001</t>
  </si>
  <si>
    <t>IX17O-CYPC6-5QEVT-OKGBT-9U4S2</t>
  </si>
  <si>
    <r>
      <rPr>
        <sz val="11"/>
        <color rgb="FF000000"/>
        <rFont val="Calibri"/>
        <charset val="134"/>
      </rPr>
      <t>po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Calibri"/>
        <charset val="134"/>
      </rPr>
      <t>WPS08-05/2023</t>
    </r>
  </si>
  <si>
    <t> OOO «INMEDTEKHNIKA»</t>
  </si>
  <si>
    <t>02-cOGITO20230505001</t>
  </si>
  <si>
    <t>OIEEN-T2595-LT1V6-SJVJP-9CIXB</t>
  </si>
  <si>
    <t>02-ptmasindo20230504001</t>
  </si>
  <si>
    <t>OSBS</t>
  </si>
  <si>
    <t>LEVE SAUDE OPERADORA DE PLANOS DE SAUDE S.A</t>
  </si>
  <si>
    <t>02-OSB20230504001</t>
  </si>
  <si>
    <t>LeveSaudeOperadora</t>
  </si>
  <si>
    <t>PERSATUAN SOKONGAN KANSER 
PAYUDARA KINABALU</t>
  </si>
  <si>
    <t>02-PSB20230505001</t>
  </si>
  <si>
    <t>9P83M-S2AAI-FYUF9-GU7MO-C2JSA</t>
  </si>
  <si>
    <t>Department of Water Resources</t>
  </si>
  <si>
    <t>02-INV20230506001</t>
  </si>
  <si>
    <t>983V4-88IAM-GHOY1-QDQNJ-AYHED</t>
  </si>
  <si>
    <t>Kdn Company Ltd.</t>
  </si>
  <si>
    <t>02-ACTIVE20230505001</t>
  </si>
  <si>
    <t>KUW2U-LZHB4-BHDRE-4Y99K-56K9M</t>
  </si>
  <si>
    <t>02-ptmasindo20230509001</t>
  </si>
  <si>
    <t>PPMHX-QNXY7-LACDD-I9TP5-WT6TT</t>
  </si>
  <si>
    <t>UINM2-KI2S5-F6QSN-RS25Y</t>
  </si>
  <si>
    <t>England</t>
  </si>
  <si>
    <t>CodeRobin Ltd</t>
  </si>
  <si>
    <t>no</t>
  </si>
  <si>
    <t>02-CodeRobin20230509001</t>
  </si>
  <si>
    <t>AENYP-EIKL1-X3H9M-OGOYF</t>
  </si>
  <si>
    <t>BT6AQ-549W6-OUCCW-IUDHU</t>
  </si>
  <si>
    <t>SRXDU-ULT16-WUNDZ-9XI7V</t>
  </si>
  <si>
    <t>YAINV-BCLZG-W4CX5-BP9UB</t>
  </si>
  <si>
    <t>Sritong Name Plate Co.,Ltd</t>
  </si>
  <si>
    <t>02-INV20230519001</t>
  </si>
  <si>
    <t>JNE1W-L8BW3-ZJ762-7349H-XJAUJ</t>
  </si>
  <si>
    <t>No</t>
  </si>
  <si>
    <t>02-PRASOFT20230515001</t>
  </si>
  <si>
    <r>
      <rPr>
        <sz val="10.5"/>
        <color rgb="FF000000"/>
        <rFont val="Calibri"/>
        <charset val="134"/>
      </rPr>
      <t>6SXTA-G3M5H-JUOPD-G7KZC-Q3XJS </t>
    </r>
    <r>
      <rPr>
        <sz val="10.5"/>
        <color rgb="FF000000"/>
        <rFont val="汉仪书宋二KW"/>
        <charset val="134"/>
      </rPr>
      <t>，</t>
    </r>
    <r>
      <rPr>
        <sz val="10.5"/>
        <color rgb="FF000000"/>
        <rFont val="Calibri"/>
        <charset val="134"/>
      </rPr>
      <t>UU36C-G7A9V-X8K2N-Q2GUX-7L6IM </t>
    </r>
    <r>
      <rPr>
        <sz val="10.5"/>
        <color rgb="FF000000"/>
        <rFont val="汉仪书宋二KW"/>
        <charset val="134"/>
      </rPr>
      <t>，</t>
    </r>
    <r>
      <rPr>
        <sz val="10.5"/>
        <color rgb="FF000000"/>
        <rFont val="Calibri"/>
        <charset val="134"/>
      </rPr>
      <t>D6VCY-B3PDA-WEG1U-4CQ5G-JLKPD</t>
    </r>
    <r>
      <rPr>
        <sz val="10.5"/>
        <color rgb="FF000000"/>
        <rFont val="汉仪书宋二KW"/>
        <charset val="134"/>
      </rPr>
      <t>，</t>
    </r>
    <r>
      <rPr>
        <sz val="10.5"/>
        <color rgb="FF000000"/>
        <rFont val="Calibri"/>
        <charset val="134"/>
      </rPr>
      <t>98IRL-EGA5W-IWPN5-H6CBV-P7CE7</t>
    </r>
    <r>
      <rPr>
        <sz val="10.5"/>
        <color rgb="FF000000"/>
        <rFont val="汉仪书宋二KW"/>
        <charset val="134"/>
      </rPr>
      <t>，</t>
    </r>
    <r>
      <rPr>
        <sz val="10.5"/>
        <color rgb="FF000000"/>
        <rFont val="Calibri"/>
        <charset val="134"/>
      </rPr>
      <t xml:space="preserve">4RKJH-JMLMW-MSM2H-BUFGE-PM5W1 
</t>
    </r>
  </si>
  <si>
    <t>4OHW4-W1R5C-MEIV9-79GLT</t>
  </si>
  <si>
    <t> EOS-Solutions</t>
  </si>
  <si>
    <t>02-cOGITO20230516001</t>
  </si>
  <si>
    <t>AOTO Electronics (UK) Ltd</t>
  </si>
  <si>
    <t>📄2023051601-AOTO</t>
  </si>
  <si>
    <t>297U5-9H4KT-LDXLM-EAR3C</t>
  </si>
  <si>
    <t>KDN Company Ltd.</t>
  </si>
  <si>
    <r>
      <rPr>
        <sz val="11"/>
        <color rgb="FF000000"/>
        <rFont val="Calibri"/>
        <charset val="134"/>
      </rPr>
      <t>02-ACTIVE20230516001 -76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Calibri"/>
        <charset val="134"/>
      </rPr>
      <t>77</t>
    </r>
    <r>
      <rPr>
        <sz val="11"/>
        <color rgb="FF000000"/>
        <rFont val="汉仪书宋二KW"/>
        <charset val="134"/>
      </rPr>
      <t>行这</t>
    </r>
    <r>
      <rPr>
        <sz val="11"/>
        <color rgb="FF000000"/>
        <rFont val="Calibri"/>
        <charset val="134"/>
      </rPr>
      <t>2</t>
    </r>
    <r>
      <rPr>
        <sz val="11"/>
        <color rgb="FF000000"/>
        <rFont val="汉仪书宋二KW"/>
        <charset val="134"/>
      </rPr>
      <t>个订单应该合并，都是对应发票号</t>
    </r>
    <r>
      <rPr>
        <sz val="11"/>
        <color rgb="FF000000"/>
        <rFont val="Calibri"/>
        <charset val="134"/>
      </rPr>
      <t>02-Active20230505001</t>
    </r>
  </si>
  <si>
    <t>OY6H5-TMXKI-Q1GQ3-Z2H3W-PVSCI</t>
  </si>
  <si>
    <t>4XXAU-BV4X8-NHBE9-RDV14</t>
  </si>
  <si>
    <t>32QQY-B6XAJ-YO9BG-7NLKC-4JHUD</t>
  </si>
  <si>
    <t>86M95-OL11E-HGBYF-UFCRE</t>
  </si>
  <si>
    <t>S. Khonkaen Foods Public Company Limited</t>
  </si>
  <si>
    <t>02-SIS20230517001</t>
  </si>
  <si>
    <t>HO1Y3-C7HCQ-KAOUE-I227K-QHOZ5</t>
  </si>
  <si>
    <t>FJSXN-Y36G6-R3EV5-QE7N6</t>
  </si>
  <si>
    <t>PT. Mandala Multifinance, Tbk</t>
  </si>
  <si>
    <t>02-PT MASINDO20230713001</t>
  </si>
  <si>
    <r>
      <rPr>
        <sz val="12"/>
        <color rgb="FF000000"/>
        <rFont val="Calibri"/>
        <charset val="134"/>
      </rPr>
      <t>Mandalafinance</t>
    </r>
    <r>
      <rPr>
        <sz val="12"/>
        <color rgb="FF000000"/>
        <rFont val="汉仪书宋二KW"/>
        <charset val="134"/>
      </rPr>
      <t>：</t>
    </r>
    <r>
      <rPr>
        <sz val="12"/>
        <color rgb="FF000000"/>
        <rFont val="Calibri"/>
        <charset val="134"/>
      </rPr>
      <t>22</t>
    </r>
    <r>
      <rPr>
        <sz val="12"/>
        <color rgb="FF000000"/>
        <rFont val="汉仪书宋二KW"/>
        <charset val="134"/>
      </rPr>
      <t>年购入</t>
    </r>
    <r>
      <rPr>
        <sz val="12"/>
        <color rgb="FF000000"/>
        <rFont val="Calibri"/>
        <charset val="134"/>
      </rPr>
      <t>WPS Office Premium23</t>
    </r>
    <r>
      <rPr>
        <sz val="12"/>
        <color rgb="FF000000"/>
        <rFont val="汉仪书宋二KW"/>
        <charset val="134"/>
      </rPr>
      <t>年换</t>
    </r>
    <r>
      <rPr>
        <sz val="12"/>
        <color rgb="FF000000"/>
        <rFont val="Calibri"/>
        <charset val="134"/>
      </rPr>
      <t>365</t>
    </r>
  </si>
  <si>
    <t>LearningMate</t>
  </si>
  <si>
    <t>02-INV20230530002</t>
  </si>
  <si>
    <t>Internet Thailand PCL.</t>
  </si>
  <si>
    <t>02-ACTIVE20230529001</t>
  </si>
  <si>
    <t>BZPBL-3FJTB-7POUD-VIVEZ-KG9C1</t>
  </si>
  <si>
    <t>Janatics India Pvt. Ltd.</t>
  </si>
  <si>
    <t>02-INV20230530001</t>
  </si>
  <si>
    <t>MT99N-4WH55-5QAUZ-DCZ3S-71ZOL</t>
  </si>
  <si>
    <t>Bangkok Chain Hospital</t>
  </si>
  <si>
    <t>PDF Pro For Business(1Y)</t>
  </si>
  <si>
    <t>02-ACTIVE20230530002</t>
  </si>
  <si>
    <t>HUWCC-KK3LF-8PI3P-EX9XC-CS3LA</t>
  </si>
  <si>
    <t>Tire Mold (Thailand) Co., Ltd.</t>
  </si>
  <si>
    <t>02-ACTIVE20230530001</t>
  </si>
  <si>
    <t>QDZ8V-11PF4-4DLAC-B2NV5-YRLFZ</t>
  </si>
  <si>
    <t>一机一码已出</t>
  </si>
  <si>
    <t>World Medical hospital</t>
  </si>
  <si>
    <t>02-ACTIVE20230615001</t>
  </si>
  <si>
    <t>XZLW6-F7KX6-9JBED-7XEJ4-POYPT</t>
  </si>
  <si>
    <t>02-Active20230602002</t>
  </si>
  <si>
    <t>BDPNG-BVIF9-6TAP1-R8KR6-QQABU</t>
  </si>
  <si>
    <t>Agung Sedayu Group</t>
  </si>
  <si>
    <r>
      <rPr>
        <sz val="11"/>
        <color rgb="FF000000"/>
        <rFont val="Calibri"/>
        <charset val="134"/>
      </rPr>
      <t>agungsedayu</t>
    </r>
    <r>
      <rPr>
        <sz val="11"/>
        <color rgb="FF000000"/>
        <rFont val="汉仪书宋二KW"/>
        <charset val="134"/>
      </rPr>
      <t>权限已开通</t>
    </r>
  </si>
  <si>
    <t>Kangaro Group of Industries</t>
  </si>
  <si>
    <t>02-INV20230606001</t>
  </si>
  <si>
    <t>D4EUE-V3W1P-5GCEL-SROW6-TRNZD</t>
  </si>
  <si>
    <t>Merit Soft Co., Ltd.</t>
  </si>
  <si>
    <t>02-ACTIVE20230607001</t>
  </si>
  <si>
    <t>3O6BN-PC9CC-WBING-6PRSU-DO12L</t>
  </si>
  <si>
    <t>Cogent E Services Limited</t>
  </si>
  <si>
    <t>N257R-IUE23-S64X9-4F8FL-IGG3Q</t>
  </si>
  <si>
    <t>China/Thailand</t>
  </si>
  <si>
    <t>HYC OPTICAL COMMUNICATION 
(THAILAND) CO., LTD</t>
  </si>
  <si>
    <t>O2-HYC20230613001</t>
  </si>
  <si>
    <t>ID 657863396</t>
  </si>
  <si>
    <t>已授权</t>
  </si>
  <si>
    <t>02-CodeRobin20230615001</t>
  </si>
  <si>
    <t>5J471-4SFH1-6WCZK-U6JWO-V17RZ
YJTLA-DXA5U-61M8C-CPXFT-M2QTE
YUB34-6HXUY-4WUED-W9LZS-VWO1V
YFF44-XUR1I-LRWPZ-ZKWH4-HLWZX
14VIK-FQO4I-LF4MR-H3A4Q-IASDJ</t>
  </si>
  <si>
    <t>AGS HEALTHCARE LIMITED</t>
  </si>
  <si>
    <t>02-PRASOFT20230615001</t>
  </si>
  <si>
    <t>8GJXN-2J7UO-IUTTP-SY18X-Q5NZV</t>
  </si>
  <si>
    <t>1D6IR-72CBN-P3G3S-6V7QP-S2NPU</t>
  </si>
  <si>
    <t>PT. Azec Indonesia Management Services</t>
  </si>
  <si>
    <t>Victory Plus school</t>
  </si>
  <si>
    <t>02-Azec20230616001</t>
  </si>
  <si>
    <t>N9PFX-IOBSO-MKY52-W37SH</t>
  </si>
  <si>
    <t>Aikchol Hospital</t>
  </si>
  <si>
    <t>ASZ4X-YWJEG-ZVD2H-9JMQ9-I5AX6</t>
  </si>
  <si>
    <t>SPACIZ DESIGN SDN BHD</t>
  </si>
  <si>
    <t>02-PSB20230616001</t>
  </si>
  <si>
    <t>SSOPH-ICOS8-SFLTV-Y4LLQ-JE5WR</t>
  </si>
  <si>
    <t>Akademi Pencegahan Rasuah
Malaysia</t>
  </si>
  <si>
    <t>02-PSB20230619001</t>
  </si>
  <si>
    <t>9HFFW-4RYPX-XNQTW-EHEKI-A292N</t>
  </si>
  <si>
    <t>Ministry of Digital Economy and Society</t>
  </si>
  <si>
    <t>02-Active20230620001</t>
  </si>
  <si>
    <t>6BB8A-XPY77-L3DTK-BFXQQ-YFM61</t>
  </si>
  <si>
    <t>Vitrox Technologies Sdn Bhd. </t>
  </si>
  <si>
    <t>02-PSB20230620001</t>
  </si>
  <si>
    <r>
      <rPr>
        <sz val="11"/>
        <color rgb="FF000000"/>
        <rFont val="汉仪书宋二KW"/>
        <charset val="134"/>
      </rPr>
      <t>线下订单：</t>
    </r>
    <r>
      <rPr>
        <sz val="11"/>
        <color rgb="FF000000"/>
        <rFont val="Calibri"/>
        <charset val="134"/>
      </rPr>
      <t>P2023062514473800003</t>
    </r>
  </si>
  <si>
    <t>GMTECH LLC</t>
  </si>
  <si>
    <t>02-INV20230626001</t>
  </si>
  <si>
    <t>7OF3N-UBYFX-82T8S-5MEKP-1Y483</t>
  </si>
  <si>
    <t>02-PT MASINDO20230626001</t>
  </si>
  <si>
    <t>02-INV20230629001</t>
  </si>
  <si>
    <t>XS5N8-L4TTG-4WVLI-YMF27-37D77</t>
  </si>
  <si>
    <r>
      <rPr>
        <sz val="11"/>
        <color rgb="FF000000"/>
        <rFont val="汉仪书宋二KW"/>
        <charset val="134"/>
      </rPr>
      <t>客户要求和之前的</t>
    </r>
    <r>
      <rPr>
        <sz val="11"/>
        <color rgb="FF000000"/>
        <rFont val="Calibri"/>
        <charset val="134"/>
      </rPr>
      <t>2</t>
    </r>
    <r>
      <rPr>
        <sz val="11"/>
        <color rgb="FF000000"/>
        <rFont val="汉仪书宋二KW"/>
        <charset val="134"/>
      </rPr>
      <t>个</t>
    </r>
    <r>
      <rPr>
        <sz val="11"/>
        <color rgb="FF000000"/>
        <rFont val="Calibri"/>
        <charset val="134"/>
      </rPr>
      <t>Key</t>
    </r>
    <r>
      <rPr>
        <sz val="11"/>
        <color rgb="FF000000"/>
        <rFont val="汉仪书宋二KW"/>
        <charset val="134"/>
      </rPr>
      <t>合并，所以同时处理了</t>
    </r>
    <r>
      <rPr>
        <sz val="11"/>
        <color rgb="FF000000"/>
        <rFont val="Calibri"/>
        <charset val="134"/>
      </rPr>
      <t>924J2-UQYE4-8LJDS-5BY9G-7YRJS and PPYEY-P8SYB-V4CQP-ELB37-ED6J5</t>
    </r>
    <r>
      <rPr>
        <sz val="11"/>
        <color rgb="FF000000"/>
        <rFont val="汉仪书宋二KW"/>
        <charset val="134"/>
      </rPr>
      <t>的换码</t>
    </r>
  </si>
  <si>
    <t>Future-tech Inter Marketing Co.,Ltd</t>
  </si>
  <si>
    <t>02-INV20230703001</t>
  </si>
  <si>
    <r>
      <rPr>
        <sz val="11"/>
        <color rgb="FF000000"/>
        <rFont val="Calibri"/>
        <charset val="134"/>
      </rPr>
      <t>Futuretech</t>
    </r>
    <r>
      <rPr>
        <sz val="11"/>
        <color rgb="FF000000"/>
        <rFont val="汉仪书宋二KW"/>
        <charset val="134"/>
      </rPr>
      <t>权限已开通</t>
    </r>
  </si>
  <si>
    <t>A2BH4-8NKB3-ARR8T-D1OLI-RBW88</t>
  </si>
  <si>
    <r>
      <rPr>
        <sz val="11"/>
        <color rgb="FF000000"/>
        <rFont val="汉仪书宋二KW"/>
        <charset val="134"/>
      </rPr>
      <t>和</t>
    </r>
    <r>
      <rPr>
        <sz val="11"/>
        <color rgb="FF000000"/>
        <rFont val="Calibri"/>
        <charset val="134"/>
      </rPr>
      <t>Cathy Leasing</t>
    </r>
    <r>
      <rPr>
        <sz val="11"/>
        <color rgb="FF000000"/>
        <rFont val="汉仪书宋二KW"/>
        <charset val="134"/>
      </rPr>
      <t>一样，要和之前的</t>
    </r>
    <r>
      <rPr>
        <sz val="11"/>
        <color rgb="FF000000"/>
        <rFont val="Calibri"/>
        <charset val="134"/>
      </rPr>
      <t>2</t>
    </r>
    <r>
      <rPr>
        <sz val="11"/>
        <color rgb="FF000000"/>
        <rFont val="汉仪书宋二KW"/>
        <charset val="134"/>
      </rPr>
      <t>个</t>
    </r>
    <r>
      <rPr>
        <sz val="11"/>
        <color rgb="FF000000"/>
        <rFont val="Calibri"/>
        <charset val="134"/>
      </rPr>
      <t>Key</t>
    </r>
    <r>
      <rPr>
        <sz val="11"/>
        <color rgb="FF000000"/>
        <rFont val="汉仪书宋二KW"/>
        <charset val="134"/>
      </rPr>
      <t>合并，</t>
    </r>
    <r>
      <rPr>
        <sz val="11"/>
        <color rgb="FF000000"/>
        <rFont val="Calibri"/>
        <charset val="134"/>
      </rPr>
      <t>disable</t>
    </r>
    <r>
      <rPr>
        <sz val="11"/>
        <color rgb="FF000000"/>
        <rFont val="汉仪书宋二KW"/>
        <charset val="134"/>
      </rPr>
      <t>原先的</t>
    </r>
    <r>
      <rPr>
        <sz val="11"/>
        <color rgb="FF000000"/>
        <rFont val="Calibri"/>
        <charset val="134"/>
      </rPr>
      <t>7IWYL-15ZR7-T3Z2G-1DLWO-USSDI</t>
    </r>
    <r>
      <rPr>
        <sz val="11"/>
        <color rgb="FF000000"/>
        <rFont val="汉仪书宋二KW"/>
        <charset val="134"/>
      </rPr>
      <t>和</t>
    </r>
    <r>
      <rPr>
        <sz val="11"/>
        <color rgb="FF000000"/>
        <rFont val="Calibri"/>
        <charset val="134"/>
      </rPr>
      <t>2744L-H2ZTG-F56P7-9UJQV-VZBFO</t>
    </r>
  </si>
  <si>
    <t>Control Data (Thailand) Ltd.</t>
  </si>
  <si>
    <t>02-Active20230704001</t>
  </si>
  <si>
    <t>FICEV-8W842-OSRE1-NZ66F-WWQNX</t>
  </si>
  <si>
    <r>
      <rPr>
        <sz val="11"/>
        <color rgb="FF000000"/>
        <rFont val="Calibri"/>
        <charset val="134"/>
      </rPr>
      <t xml:space="preserve">02-Active20230712001, 02-Active20230712002, 02-Active20230712003 </t>
    </r>
    <r>
      <rPr>
        <sz val="11"/>
        <color rgb="FF000000"/>
        <rFont val="汉仪书宋二KW"/>
        <charset val="134"/>
      </rPr>
      <t>这一单应代理商的要求拆成了三笔支付，所以对应</t>
    </r>
    <r>
      <rPr>
        <sz val="11"/>
        <color rgb="FF000000"/>
        <rFont val="Calibri"/>
        <charset val="134"/>
      </rPr>
      <t>3</t>
    </r>
    <r>
      <rPr>
        <sz val="11"/>
        <color rgb="FF000000"/>
        <rFont val="汉仪书宋二KW"/>
        <charset val="134"/>
      </rPr>
      <t>张发票</t>
    </r>
  </si>
  <si>
    <t>MYDC4-7A7TP-6KRKO-A3DOW-VAXYI</t>
  </si>
  <si>
    <t>FD6VJ-K7LW7-VFB6Q-KCU37-3F89J</t>
  </si>
  <si>
    <r>
      <rPr>
        <sz val="11"/>
        <color rgb="FF000000"/>
        <rFont val="Calibri"/>
        <charset val="134"/>
      </rPr>
      <t>10006</t>
    </r>
    <r>
      <rPr>
        <sz val="11"/>
        <color rgb="FF000000"/>
        <rFont val="汉仪书宋二KW"/>
        <charset val="134"/>
      </rPr>
      <t>老泰文版，带</t>
    </r>
    <r>
      <rPr>
        <sz val="11"/>
        <color rgb="FF000000"/>
        <rFont val="Calibri"/>
        <charset val="134"/>
      </rPr>
      <t>VBA</t>
    </r>
    <r>
      <rPr>
        <sz val="11"/>
        <color rgb="FF000000"/>
        <rFont val="汉仪书宋二KW"/>
        <charset val="134"/>
      </rPr>
      <t>，内置国内序列号</t>
    </r>
  </si>
  <si>
    <t>INOAC Industries (Thailand) Co., Ltd.</t>
  </si>
  <si>
    <t>GFRQ8-2R6X6-2YRCV-J5AIK-3E4MC</t>
  </si>
  <si>
    <t>ALURTENAGA SDN BHD</t>
  </si>
  <si>
    <t>02-PSB20230705001</t>
  </si>
  <si>
    <t>W1P21-Y344W-WO448-BJ7FQ-THAT6</t>
  </si>
  <si>
    <t> PT Anugrah Prima Langgeng</t>
  </si>
  <si>
    <t>02-PT MASINDO20230710001</t>
  </si>
  <si>
    <t>ID 680202636</t>
  </si>
  <si>
    <r>
      <rPr>
        <sz val="11"/>
        <color rgb="FF000000"/>
        <rFont val="Calibri"/>
        <charset val="134"/>
      </rPr>
      <t>gramala</t>
    </r>
    <r>
      <rPr>
        <sz val="11"/>
        <color rgb="FF000000"/>
        <rFont val="汉仪书宋二KW"/>
        <charset val="134"/>
      </rPr>
      <t>权限已开通</t>
    </r>
  </si>
  <si>
    <t>PT. LION GRUP</t>
  </si>
  <si>
    <t>02-PT MASINDO20230728001</t>
  </si>
  <si>
    <t>📄PT MASINDO-20230728001-invoice</t>
  </si>
  <si>
    <r>
      <rPr>
        <sz val="11"/>
        <color rgb="FF000000"/>
        <rFont val="Calibri"/>
        <charset val="134"/>
      </rPr>
      <t>M6AVG-D4FEF-LCTTO-A9N5I-7NB9D</t>
    </r>
    <r>
      <rPr>
        <sz val="11"/>
        <color rgb="FF000000"/>
        <rFont val="汉仪书宋二KW"/>
        <charset val="134"/>
      </rPr>
      <t>（已禁用）</t>
    </r>
  </si>
  <si>
    <r>
      <rPr>
        <sz val="11"/>
        <color rgb="FF000000"/>
        <rFont val="汉仪书宋二KW"/>
        <charset val="134"/>
      </rPr>
      <t>经和客户沟通，客户的</t>
    </r>
    <r>
      <rPr>
        <sz val="11"/>
        <color rgb="FF000000"/>
        <rFont val="Calibri"/>
        <charset val="134"/>
      </rPr>
      <t>500</t>
    </r>
    <r>
      <rPr>
        <sz val="11"/>
        <color rgb="FF000000"/>
        <rFont val="汉仪书宋二KW"/>
        <charset val="134"/>
      </rPr>
      <t>套特价</t>
    </r>
    <r>
      <rPr>
        <sz val="11"/>
        <color rgb="FF000000"/>
        <rFont val="Calibri"/>
        <charset val="134"/>
      </rPr>
      <t>lifetime</t>
    </r>
    <r>
      <rPr>
        <sz val="11"/>
        <color rgb="FF000000"/>
        <rFont val="汉仪书宋二KW"/>
        <charset val="134"/>
      </rPr>
      <t>订单剩余</t>
    </r>
    <r>
      <rPr>
        <sz val="11"/>
        <color rgb="FF000000"/>
        <rFont val="Calibri"/>
        <charset val="134"/>
      </rPr>
      <t>325</t>
    </r>
    <r>
      <rPr>
        <sz val="11"/>
        <color rgb="FF000000"/>
        <rFont val="汉仪书宋二KW"/>
        <charset val="134"/>
      </rPr>
      <t>套统一一个</t>
    </r>
    <r>
      <rPr>
        <sz val="11"/>
        <color rgb="FF000000"/>
        <rFont val="Calibri"/>
        <charset val="134"/>
      </rPr>
      <t>PO</t>
    </r>
    <r>
      <rPr>
        <sz val="11"/>
        <color rgb="FF000000"/>
        <rFont val="汉仪书宋二KW"/>
        <charset val="134"/>
      </rPr>
      <t>处理掉</t>
    </r>
  </si>
  <si>
    <t>Central Institute of Forensic Science. (CIFS)</t>
  </si>
  <si>
    <t>02-Active20230720001</t>
  </si>
  <si>
    <t>AV4BG-UKR73-E6863-NANQV-8R9JB</t>
  </si>
  <si>
    <r>
      <rPr>
        <sz val="11"/>
        <color rgb="FF000000"/>
        <rFont val="汉仪书宋二KW"/>
        <charset val="134"/>
      </rPr>
      <t>客户担心泰语问题，还是用的老版本</t>
    </r>
    <r>
      <rPr>
        <sz val="11"/>
        <color rgb="FF000000"/>
        <rFont val="Calibri"/>
        <charset val="134"/>
      </rPr>
      <t>+</t>
    </r>
    <r>
      <rPr>
        <sz val="11"/>
        <color rgb="FF000000"/>
        <rFont val="汉仪书宋二KW"/>
        <charset val="134"/>
      </rPr>
      <t>内置序列号交付</t>
    </r>
  </si>
  <si>
    <t>02-Active20230725001</t>
  </si>
  <si>
    <t>NF2AO-NS779-2JM8Q-3SKON-L9DVT</t>
  </si>
  <si>
    <t>PT. Ace Hardware Indonesia Tbk</t>
  </si>
  <si>
    <t>02-PT MASINDO20230725001</t>
  </si>
  <si>
    <t>524D3-8TW5I-THFP1-3CLP3-IFKSP</t>
  </si>
  <si>
    <t>Philippines</t>
  </si>
  <si>
    <t>Beta Electromechanical Corporation </t>
  </si>
  <si>
    <t>02-Electromechanical-20230704001</t>
  </si>
  <si>
    <t>U786Y-7VFMQ-3TSQS-PLCPD-JIQRR</t>
  </si>
  <si>
    <t>Provincial Waterworks Authority</t>
  </si>
  <si>
    <t>02-Active20230731001</t>
  </si>
  <si>
    <t>33LQC-THTDY-4MDNK-FPUMX-L8RCB</t>
  </si>
  <si>
    <t>Driada LLC</t>
  </si>
  <si>
    <t>02-INV20230802001</t>
  </si>
  <si>
    <t>ID 665805555</t>
  </si>
  <si>
    <t>Chaitanya India Fin Credit Pvt Ltd</t>
  </si>
  <si>
    <t>6UEI2-KPPY7-DRVSZ-NM475-9C85N</t>
  </si>
  <si>
    <t>02-INV20230802002</t>
  </si>
  <si>
    <t>3FJNW-6ERDF-LXM9U-JHJHQ-JJ8EL</t>
  </si>
  <si>
    <t>WPS01-08/2023</t>
  </si>
  <si>
    <t>02-Active20230804001</t>
  </si>
  <si>
    <t>QUVBM-JKZ3X-9WUYT-VMCQ8-1M9UX</t>
  </si>
  <si>
    <t>02-PSB20230804001</t>
  </si>
  <si>
    <t>ID 653413791</t>
  </si>
  <si>
    <t>DINAS PENANAMAN MODAL DAN PELAYANAN TERPADU SATU PINTU</t>
  </si>
  <si>
    <t>02-PT MASINDO20230810001</t>
  </si>
  <si>
    <t>S2TZS-WR4PU-GBMWX-4LG5A-3TARZ</t>
  </si>
  <si>
    <t>wave power group</t>
  </si>
  <si>
    <t>02-PSB20230814001</t>
  </si>
  <si>
    <t>B2JKF-MH9S6-ACXW8-VDYE7-Z71DP</t>
  </si>
  <si>
    <t>MOH - Kementerian Kesihatan Malaysia</t>
  </si>
  <si>
    <t>WPS Office for Business(10Y)</t>
  </si>
  <si>
    <t>02-PSB20230817001</t>
  </si>
  <si>
    <t>E8PW6-6ZLB2-VAJ9P-YPZZD-51EBN</t>
  </si>
  <si>
    <t>02-INV20230818001</t>
  </si>
  <si>
    <t>B8BA2-W5U1L-IA7JN-SY3RY-DPKYE</t>
  </si>
  <si>
    <t>02-Active20230821001</t>
  </si>
  <si>
    <t>6JC1O-TUR8U-ACNOT-E8WWG-LK4HW</t>
  </si>
  <si>
    <t>Thai Dnt Paint Co.,Ltd.</t>
  </si>
  <si>
    <t>02-Active20230821002</t>
  </si>
  <si>
    <t>HXSPQ-DN78G-SYCO4-2K1DW-FE7IC</t>
  </si>
  <si>
    <t>OOO "OKONNYY DOM"</t>
  </si>
  <si>
    <t>02-Cogito20230822001</t>
  </si>
  <si>
    <t>8IUFB-UNK9Y-OZRWK-TMK25-EQTPT</t>
  </si>
  <si>
    <t>Vietnam</t>
  </si>
  <si>
    <t>VI NA NET SERVICES JOINT STOCK
Company</t>
  </si>
  <si>
    <t>ALIAT LEGAL LLC</t>
  </si>
  <si>
    <t>02-INV20230823001</t>
  </si>
  <si>
    <t>91IEM-B8KEH-TQDGS-E8YRT-ABEW3</t>
  </si>
  <si>
    <t>PT. Bumi Berkah Boga</t>
  </si>
  <si>
    <t>02-PT MASINDO20230823001</t>
  </si>
  <si>
    <t>8BV12-13YN5-2FQJJ-CEBJV-OL3FE</t>
  </si>
  <si>
    <t>PEJABAT KESIHATAN DAERAH BARAT DAYA</t>
  </si>
  <si>
    <t>02-PSB20230825001</t>
  </si>
  <si>
    <t>AORUR-N6Y4D-JQ4JE-6PGCI-K7JHX</t>
  </si>
  <si>
    <t>Alurtenaga Sdn Bhd</t>
  </si>
  <si>
    <t>02-PSB20230825002</t>
  </si>
  <si>
    <t>HKQOY-831YL-TF6SG-W9QB3-DOZM6</t>
  </si>
  <si>
    <t>SRITONG NAMEPLATE CO., LTD.</t>
  </si>
  <si>
    <t>02-INV20230829001</t>
  </si>
  <si>
    <t>OCLIN-D664B-GS3NR-1MZPI-D5AKI</t>
  </si>
  <si>
    <t>European Food PCL.</t>
  </si>
  <si>
    <t>02-Active20230829001</t>
  </si>
  <si>
    <t>24E8K-FHAY3-NX7YA-RRFDY-8BH9B</t>
  </si>
  <si>
    <t>02-Active20230829002</t>
  </si>
  <si>
    <t>Darya Sycheva - fiz litso</t>
  </si>
  <si>
    <t>02-Cogito20230829001</t>
  </si>
  <si>
    <t>2LO82-MKSQM-RVJ17-7MN9V-D6H8I</t>
  </si>
  <si>
    <t>PT. Prima Sejati Sejahtera</t>
  </si>
  <si>
    <t>02-Azec20230829001</t>
  </si>
  <si>
    <t>Z58EP-Q8CWD-S13DH-JGDXS-GITG7</t>
  </si>
  <si>
    <t>02-PT MASINDO20230901001</t>
  </si>
  <si>
    <t>PT2QB-KSBYD-MIGTB-HFNA8-7866A</t>
  </si>
  <si>
    <t>10m</t>
  </si>
  <si>
    <t>02-PT MASINDO20230906001</t>
  </si>
  <si>
    <r>
      <rPr>
        <sz val="11"/>
        <color rgb="FF000000"/>
        <rFont val="Calibri"/>
        <charset val="134"/>
      </rPr>
      <t>ID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Calibri"/>
        <charset val="134"/>
      </rPr>
      <t>609441585</t>
    </r>
  </si>
  <si>
    <t>02-PT MASINDO20230906002</t>
  </si>
  <si>
    <t>IA22D-FZCL4-Y6A6I-S37UW-8ZJFL-9SS2I-96</t>
  </si>
  <si>
    <t>CHAITANYA INDIA FIN CREDIT PVT LTD</t>
  </si>
  <si>
    <t>02-PRASOFT20230906001</t>
  </si>
  <si>
    <t>CRDDC-IYIQH-TA4NS-4QXU8-V6QBM-6UGNY-J8</t>
  </si>
  <si>
    <t>02-INV20230912001</t>
  </si>
  <si>
    <t>VV69N-FJSRK-OTD2R-XK96A-BTKHX</t>
  </si>
  <si>
    <t>NF2BB-8LU8C-H6M7R-VYYHD-PVTLF</t>
  </si>
  <si>
    <t>02-PT MASINDO20230912001</t>
  </si>
  <si>
    <t>UKAIO-1LHWL-OUS4I-HD48Y-P8Q2U</t>
  </si>
  <si>
    <t>OOO «INMEDTEKHNIKA»</t>
  </si>
  <si>
    <t>02-Cogito20230912001</t>
  </si>
  <si>
    <t>02-Active20230921001</t>
  </si>
  <si>
    <t>KIDO1-9M15Q-STEQK-EJOII-HWBLV</t>
  </si>
  <si>
    <t>Canada</t>
  </si>
  <si>
    <t>Miniso Lifestyle Canada Inc.</t>
  </si>
  <si>
    <t>02-Miniso 20230925001</t>
  </si>
  <si>
    <t>ICTGOWORLD PTE. LTD.</t>
  </si>
  <si>
    <t>ID: 02-INV20230925001</t>
  </si>
  <si>
    <t>KROHNE (M) SDN BHD.</t>
  </si>
  <si>
    <t>02-PSB20230926002</t>
  </si>
  <si>
    <t>LRHLY-FTEF5-4ZVG8-B7SP3-QGTWG-A47LW-LE</t>
  </si>
  <si>
    <r>
      <rPr>
        <sz val="11"/>
        <color rgb="FF000000"/>
        <rFont val="汉仪书宋二KW"/>
        <charset val="134"/>
      </rPr>
      <t>此客户原先是沟通下单</t>
    </r>
    <r>
      <rPr>
        <sz val="11"/>
        <color rgb="FF000000"/>
        <rFont val="Calibri"/>
        <charset val="134"/>
      </rPr>
      <t>wps365</t>
    </r>
    <r>
      <rPr>
        <sz val="11"/>
        <color rgb="FF000000"/>
        <rFont val="汉仪书宋二KW"/>
        <charset val="134"/>
      </rPr>
      <t>的，由于</t>
    </r>
    <r>
      <rPr>
        <sz val="11"/>
        <color rgb="FF000000"/>
        <rFont val="Calibri"/>
        <charset val="134"/>
      </rPr>
      <t>WPS</t>
    </r>
    <r>
      <rPr>
        <sz val="11"/>
        <color rgb="FF000000"/>
        <rFont val="汉仪书宋二KW"/>
        <charset val="134"/>
      </rPr>
      <t>方面要停售</t>
    </r>
    <r>
      <rPr>
        <sz val="11"/>
        <color rgb="FF000000"/>
        <rFont val="Calibri"/>
        <charset val="134"/>
      </rPr>
      <t>SAAS</t>
    </r>
    <r>
      <rPr>
        <sz val="11"/>
        <color rgb="FF000000"/>
        <rFont val="汉仪书宋二KW"/>
        <charset val="134"/>
      </rPr>
      <t>产品，后经协商转换为</t>
    </r>
    <r>
      <rPr>
        <sz val="11"/>
        <color rgb="FF000000"/>
        <rFont val="Calibri"/>
        <charset val="134"/>
      </rPr>
      <t>wps pro</t>
    </r>
    <r>
      <rPr>
        <sz val="11"/>
        <color rgb="FF000000"/>
        <rFont val="汉仪书宋二KW"/>
        <charset val="134"/>
      </rPr>
      <t>会员，额外多给</t>
    </r>
    <r>
      <rPr>
        <sz val="11"/>
        <color rgb="FF000000"/>
        <rFont val="Calibri"/>
        <charset val="134"/>
      </rPr>
      <t>10</t>
    </r>
    <r>
      <rPr>
        <sz val="11"/>
        <color rgb="FF000000"/>
        <rFont val="汉仪书宋二KW"/>
        <charset val="134"/>
      </rPr>
      <t>个授权数量</t>
    </r>
  </si>
  <si>
    <t>02-Active20230926001</t>
  </si>
  <si>
    <t>TN1X2-T7PA6-LLU4R-QVCCR-8O24S</t>
  </si>
  <si>
    <t>02-Active20230926002</t>
  </si>
  <si>
    <t>O28NN-5LMF9-6H4UQ-Q8PKI-G6BIL</t>
  </si>
  <si>
    <t>BDMS Wellness Clinic Co., Ltd.</t>
  </si>
  <si>
    <t>02-Active20231012002</t>
  </si>
  <si>
    <t>YB1ZA-AXP9B-2WEIO-NICUV-9YZSV</t>
  </si>
  <si>
    <t>PT.Metropolitanland Tbk</t>
  </si>
  <si>
    <t>02-PT MASINDO20231012002</t>
  </si>
  <si>
    <t>INTER TEC LLC</t>
  </si>
  <si>
    <t>02-US-Lab20231012001</t>
  </si>
  <si>
    <t>UZN4H-996WY-PKDWJ-THA5P-N7JJE</t>
  </si>
  <si>
    <t>Starmark Manufacturing (Thailand)
Co., Ltd.</t>
  </si>
  <si>
    <t>02-Active20231012004</t>
  </si>
  <si>
    <t>JC8II-CQFQS-D9EWA-I4HB3-IY8PB</t>
  </si>
  <si>
    <t>Thailand Post Co., Ltd.</t>
  </si>
  <si>
    <t>02-Active20231012003</t>
  </si>
  <si>
    <t>YACEC-FRNEK-2HST2-OXWFN-ITS8I</t>
  </si>
  <si>
    <t>7K3JQ-LXKDT-HL6JN-UDNP2-R634D</t>
  </si>
  <si>
    <t>Hongkong</t>
  </si>
  <si>
    <t>HKR Technology Limited</t>
  </si>
  <si>
    <t>Microbiota l-Center (MagIC) Ltd.</t>
  </si>
  <si>
    <t>02-HKR20231012001</t>
  </si>
  <si>
    <t>wusidinodn</t>
  </si>
  <si>
    <r>
      <rPr>
        <sz val="11"/>
        <color rgb="FF000000"/>
        <rFont val="Calibri"/>
        <charset val="134"/>
      </rPr>
      <t>premium license</t>
    </r>
    <r>
      <rPr>
        <sz val="11"/>
        <color rgb="FF000000"/>
        <rFont val="汉仪书宋二KW"/>
        <charset val="134"/>
      </rPr>
      <t>后台</t>
    </r>
  </si>
  <si>
    <t>02-PT MASINDO20231012003</t>
  </si>
  <si>
    <t>2LA2R-CYWOV-82EXQ-BXTNZ-EHHVR</t>
  </si>
  <si>
    <t>OfficeOfJusticeAffairs</t>
  </si>
  <si>
    <t>02-Active20231018001</t>
  </si>
  <si>
    <t>RPTT6-H3WCP-TEY7B-23BQ9-LJ6EE</t>
  </si>
  <si>
    <t>Kasemrad Rattanathibet Hospital</t>
  </si>
  <si>
    <t>02-Active20231017001</t>
  </si>
  <si>
    <t>GIFH4-WUJ26-WUCQ8-5T6EF-QE6PA</t>
  </si>
  <si>
    <t>OOO «Apeks Grupp»</t>
  </si>
  <si>
    <t>02-Cogito20231011001</t>
  </si>
  <si>
    <t>LCJ99-MTYPC-5QLFQ-R4BYU-BZQ6F</t>
  </si>
  <si>
    <t>BLUE STAR LIMITED</t>
  </si>
  <si>
    <t>02-INV20231016002</t>
  </si>
  <si>
    <t>6ECZ4-LNWH2-I3HXD-3U6EW-9HET3</t>
  </si>
  <si>
    <t>OOO "NOST-SOLYUSHENS"</t>
  </si>
  <si>
    <t>02-Cogito20231017001</t>
  </si>
  <si>
    <t>ODW7L-JDJ5U-EMXP1-SCZTC-G1J1R</t>
  </si>
  <si>
    <t>PFK CHARUS OOO</t>
  </si>
  <si>
    <t>02-Cogito20231017002</t>
  </si>
  <si>
    <t>4CDA1-XRVFP-7CQNR-CW78Z-GGTP2</t>
  </si>
  <si>
    <t>Hylife IBC Co., Ltd.</t>
  </si>
  <si>
    <t>02-INV20231016001</t>
  </si>
  <si>
    <t>CH4IN-FBIPH-22FTP-P369X-7ZE46</t>
  </si>
  <si>
    <t>02-INV20231018001</t>
  </si>
  <si>
    <t>www.bai</t>
  </si>
  <si>
    <t>02-PT MASINDO20231020001</t>
  </si>
  <si>
    <t>PROJECT-CITY LLC</t>
  </si>
  <si>
    <t>02-Cogito20231026001</t>
  </si>
  <si>
    <t>ALNAK-MI9TI-Z3BN8-UGI1L-FJZYC</t>
  </si>
  <si>
    <t>Karunvej Ayudhaya Hospital</t>
  </si>
  <si>
    <t>02-Active20231026001</t>
  </si>
  <si>
    <t>YZNBK-A9MRX-CICRK-E4R27-KXC1Y</t>
  </si>
  <si>
    <t>Extend license to renew</t>
  </si>
  <si>
    <t>Karunvej Pathumthani Hospital</t>
  </si>
  <si>
    <t>02-Active20231026002</t>
  </si>
  <si>
    <t>K65E6-23PH2-TTXHV-9XZWD-4SQVP</t>
  </si>
  <si>
    <t>PUSAT PERGIGIAN KANAK-KANAK 
&amp; ILKKM (PERGIGIAN) 
GEORGETOWN</t>
  </si>
  <si>
    <t>02-PSB20231027001</t>
  </si>
  <si>
    <t>BQGYQ-QSCNN-AZB1U-DVAGJ-UTP1S</t>
  </si>
  <si>
    <t>Bangkok Chain International (Lao) Co.,</t>
  </si>
  <si>
    <t>02-Active20231027001</t>
  </si>
  <si>
    <t>BMUEO-686FK-J6W2L-R7GKI-FNQYW</t>
  </si>
  <si>
    <t>SCG (Thailand) Co., Ltd.</t>
  </si>
  <si>
    <t>02-Active20231031001</t>
  </si>
  <si>
    <t>AXU9H-8QXDR-U9T2T-KX748-RHEVF</t>
  </si>
  <si>
    <t>Go Digit General Insurance Limited.</t>
  </si>
  <si>
    <t>02-INV20231031001</t>
  </si>
  <si>
    <t>EYBWO-RK7GJ-HRQPX-GUPVG-69SN7</t>
  </si>
  <si>
    <t>02-INV20231031002</t>
  </si>
  <si>
    <t>47PIK-UA19D-3Z4UR-F1L12-87TMM</t>
  </si>
  <si>
    <t>MANSONS INTERNATIONAL PVT. LTD.</t>
  </si>
  <si>
    <t>02-INV20231031003</t>
  </si>
  <si>
    <t>UDLEQ-ULL8C-HE52D-PEWM8-SNLAT</t>
  </si>
  <si>
    <t>THCG HOLDING CO.,LTD.</t>
  </si>
  <si>
    <t>02-SiS20231107001</t>
  </si>
  <si>
    <t>XQWVL-GD56E-L7KAS-XTIVD-XCHN1</t>
  </si>
  <si>
    <t>02-INV20231107001</t>
  </si>
  <si>
    <t>EPQJU-7TJPR-3Q5TG-YF2BD-MELL7</t>
  </si>
  <si>
    <t>Rights and Liberties Protection
Department (RLPD)</t>
  </si>
  <si>
    <t>02-Active20231107001</t>
  </si>
  <si>
    <t>DNPYA-QXVND-ECB6L-7BBTU-WRUAC</t>
  </si>
  <si>
    <t>OOO «PREMIUM KLINIK»</t>
  </si>
  <si>
    <t>02-Cogito20231107001</t>
  </si>
  <si>
    <t>DZ7BQ-V9PDQ-KY6CD-W3ZL6-TBW6J</t>
  </si>
  <si>
    <t>Hospital Kemaman</t>
  </si>
  <si>
    <t>02-PSB20231113001</t>
  </si>
  <si>
    <t>MWLHT-ROIE2-F4J1Z-T5Q2P-2R94A</t>
  </si>
  <si>
    <t>APTOS GRUPP OOO</t>
  </si>
  <si>
    <t>02-Cogito20231115001</t>
  </si>
  <si>
    <t>PF629-OP9XQ-EZI1S-CVFDA-MV915</t>
  </si>
  <si>
    <t>Mauhammad Fahmi</t>
  </si>
  <si>
    <t>02-PT MASINDO20231115002</t>
  </si>
  <si>
    <t>FOE8I-NORT4-9LR2P-FSWBZ-UW15A</t>
  </si>
  <si>
    <t>O1TAP-J6O3N-GPOGL-DU4PD-2O6FY</t>
  </si>
  <si>
    <t>Micael Karinda</t>
  </si>
  <si>
    <t>02-PT MASINDO20231115001</t>
  </si>
  <si>
    <t>YKFLB-5TC94-FBOC6-NZT2V-BXPBP</t>
  </si>
  <si>
    <t>LEEDARSON IoT TECHNOLOGY (THAILAND) CO., LTD.</t>
  </si>
  <si>
    <t>02-SiS20231117001</t>
  </si>
  <si>
    <t>6CLKW-EWLQ3-QHWXR-UZULC-GFR33</t>
  </si>
  <si>
    <t>02-Active20231117001</t>
  </si>
  <si>
    <t>34979-746BK-7GZPV-H2QUI-QC847</t>
  </si>
  <si>
    <t>Onelink Technology Co., Ltd.</t>
  </si>
  <si>
    <t>02-Active20231117002</t>
  </si>
  <si>
    <t>DVFFC-UZ9KA-ORF44-XU8G9-7AFVT</t>
  </si>
  <si>
    <t>02-PSB20231123001</t>
  </si>
  <si>
    <t>4RXEC-W2EW8-DPB15-NHLLT-RTGEO</t>
  </si>
  <si>
    <t>Phithan Phanich Ltd. (Narathivas)</t>
  </si>
  <si>
    <t>02-Active20231123001</t>
  </si>
  <si>
    <t>23RKY-W6JXF-LKQDJ-86WPJ-R8WEE</t>
  </si>
  <si>
    <t>Balai Pengelolaan DAS Benain Noelmina</t>
  </si>
  <si>
    <t>02-PT MASINDO20231129001</t>
  </si>
  <si>
    <t>EADUS-H91A4-ZX7QS-LMZTR-32TDN</t>
  </si>
  <si>
    <t>Klinik Kesihatan Bandaraya Miri</t>
  </si>
  <si>
    <t>02-PSB20231129001</t>
  </si>
  <si>
    <t>D5EOL-I9OBV-1Q8B7-8BA9M-SR6OO-VF7KL-PO</t>
  </si>
  <si>
    <t>Tenaga Cable Industries Sdn Bhd</t>
  </si>
  <si>
    <t>02-PSB20231129002</t>
  </si>
  <si>
    <t>FGH3P-KV14S-NXN35-UWR3J-34TU8-XM5KT-2C</t>
  </si>
  <si>
    <t>Hospital Pakar sultanah Fatimah, Muar</t>
  </si>
  <si>
    <t>02-PSB20231129003</t>
  </si>
  <si>
    <t>D5B4U-SWWW8-U553F-AV697-66491</t>
  </si>
  <si>
    <t>Smogo Holding Co., Ltd.</t>
  </si>
  <si>
    <t>02-Active20231129001</t>
  </si>
  <si>
    <t>QI3KY-VJQ46-ICJMZ-ZS76S-RKYSM</t>
  </si>
  <si>
    <t>Office Of The Permanent Secretary
Ministry Of Justice</t>
  </si>
  <si>
    <t>02-Active20231129002</t>
  </si>
  <si>
    <t>UJN4P-VA8CJ-6UDU3-J7TYR-JUFGL</t>
  </si>
  <si>
    <t>内置离线免激活序列号</t>
  </si>
  <si>
    <t>A natural person - Silov Dmitry Dmit rievich</t>
  </si>
  <si>
    <t>02-Cogito20231130001</t>
  </si>
  <si>
    <t>DL94F-GWVYD-NS3F8-OHH9K-GQ5QY</t>
  </si>
  <si>
    <t>Limited Liability Сompany «Zavod
Svetovyh Priborov» (LLC «ZSP»)</t>
  </si>
  <si>
    <t>02-Cogito20231130002</t>
  </si>
  <si>
    <t>JVLSE-A74P3-MF473-ZHPSN-81X45</t>
  </si>
  <si>
    <t>Masindo stock 20231201</t>
  </si>
  <si>
    <t>02-PTMASINDO20231201001</t>
  </si>
  <si>
    <t>UE9OH2BQJWT4H8POPUMQTS767, NBKV5XBOAHFMR7QCRXW82TX3D, 82U7W9M3JTK5B6C8O5XDV68SO, MB88K1SLM3OQXWYC1PHGOK2L9, CNVBZ9756OD3FZ6K3W9I7NM83, T4ZPGBZMGJ2LVD3O85T8GYG5P, ZXBNOAD6MPDNJ33MHNJYOIFD4, 4YQ575DFJFIP8AANHIRLOD6WO, 5CKP3NWH8Y27INCVESZBXK65I, THSMR5VDQTPJUPA54TM76HR2E</t>
  </si>
  <si>
    <t>02-INV20231208001</t>
  </si>
  <si>
    <t>XO6YX-9QR6F-V5CWE-234WJ-IRSD4</t>
  </si>
  <si>
    <t>Department of Juvenile Observation and Protection</t>
  </si>
  <si>
    <t>02-INV20231208002</t>
  </si>
  <si>
    <t>KUYGT-63722-2BAHN-DBN3Q-9RG6E</t>
  </si>
  <si>
    <t>Shtell LLC</t>
  </si>
  <si>
    <t>02-Cogito20231208001</t>
  </si>
  <si>
    <t>UAICX-88JLA-PK8GY-UP2OI-1UYK5</t>
  </si>
  <si>
    <t>TD PISHCHEVYE TEKHNOLOGII OOO</t>
  </si>
  <si>
    <t>02-Cogito20231208002</t>
  </si>
  <si>
    <t>E5LZU-82WPX-NUVWC-3CSUU-VZD26</t>
  </si>
  <si>
    <t>02-PRASOFT20231213001</t>
  </si>
  <si>
    <t>EI3CX-7IB1Y-J3PP4-CBGVP-86W12</t>
  </si>
  <si>
    <t>IP VOLKOV DMITRY YURIEVICH</t>
  </si>
  <si>
    <t>02-Cogito20231218001</t>
  </si>
  <si>
    <t>D4935-68QMA-KXLE2-RPFE1-SV7HY</t>
  </si>
  <si>
    <t>HDB FINANCIAL SERVICES 
PRIVATE LIMITED</t>
  </si>
  <si>
    <t>02-PRASOFT20231218001</t>
  </si>
  <si>
    <t>NOEA3-ZVXF6-AU3TZ-ZXQ6U-JNFTH</t>
  </si>
  <si>
    <r>
      <rPr>
        <sz val="11"/>
        <color rgb="FF000000"/>
        <rFont val="汉仪书宋二KW"/>
        <charset val="134"/>
      </rPr>
      <t>之前的</t>
    </r>
    <r>
      <rPr>
        <sz val="11"/>
        <color rgb="FF000000"/>
        <rFont val="Calibri"/>
        <charset val="134"/>
      </rPr>
      <t>code</t>
    </r>
    <r>
      <rPr>
        <sz val="11"/>
        <color rgb="FF000000"/>
        <rFont val="汉仪书宋二KW"/>
        <charset val="134"/>
      </rPr>
      <t>基础上增加</t>
    </r>
    <r>
      <rPr>
        <sz val="11"/>
        <color rgb="FF000000"/>
        <rFont val="Calibri"/>
        <charset val="134"/>
      </rPr>
      <t>1200</t>
    </r>
    <r>
      <rPr>
        <sz val="11"/>
        <color rgb="FF000000"/>
        <rFont val="汉仪书宋二KW"/>
        <charset val="134"/>
      </rPr>
      <t>个授权</t>
    </r>
  </si>
  <si>
    <t>Australia</t>
  </si>
  <si>
    <t>ZECURERIGHT PTY LTD</t>
  </si>
  <si>
    <t>Infopride Soluations PVT LTD</t>
  </si>
  <si>
    <t>02-ZeR20231219001</t>
  </si>
  <si>
    <t>MKF9R-4SIEW-Z992T-26QOW-P7GNM</t>
  </si>
  <si>
    <t>Choice Comm Sdn Bhd</t>
  </si>
  <si>
    <t>02-PSB20231218002</t>
  </si>
  <si>
    <t>8852D-UI1XD-2CHB7-I9PIS-VWNKA</t>
  </si>
  <si>
    <t>02-PSB20231218001</t>
  </si>
  <si>
    <t>7KSU9-T99ZD-Y49LQ-UMVDT-PQBJG-B4LYU-JZ</t>
  </si>
  <si>
    <t>Joint Stock Company “Ardatovskiy svetotechnicheskiy zavod” (JSC “ASTZ”)</t>
  </si>
  <si>
    <t>02-Cogito20231220001</t>
  </si>
  <si>
    <t>MZMGJ-9R1VU-161AB-POVMM-CPLS5</t>
  </si>
  <si>
    <t>02-INV20231221001</t>
  </si>
  <si>
    <t>8363T-FAP6D-ANLH8-TX4A7-UVDGL</t>
  </si>
  <si>
    <t>内置免激活序列号</t>
  </si>
  <si>
    <t>02-Active20231221001</t>
  </si>
  <si>
    <t>1K1QR-U2T19-8E7QK-EZ8J2-K4URL</t>
  </si>
  <si>
    <t>TN Group Corporation Co.,Ltd.</t>
  </si>
  <si>
    <t>02-Active20231225001</t>
  </si>
  <si>
    <t>HI8O8-N7J5K-CJTU7-J34UT-WJJ2J</t>
  </si>
  <si>
    <t>02-PT MASINDO20231226001</t>
  </si>
  <si>
    <t>UNaaSRcTLp</t>
  </si>
  <si>
    <r>
      <rPr>
        <sz val="11"/>
        <color rgb="FF000000"/>
        <rFont val="汉仪书宋二KW"/>
        <charset val="134"/>
      </rPr>
      <t>客户要求管理后台，所以替换原</t>
    </r>
    <r>
      <rPr>
        <sz val="11"/>
        <color rgb="FF000000"/>
        <rFont val="Calibri"/>
        <charset val="134"/>
      </rPr>
      <t>redeem code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Calibri"/>
        <charset val="134"/>
      </rPr>
      <t>OW6FU-TJPQG-ACY2F-GELRK-G1SNW</t>
    </r>
  </si>
  <si>
    <t>Lembaga Kemajuan Kelantan Selatan (KESEDAR)</t>
  </si>
  <si>
    <t>02-PSB20231229001</t>
  </si>
  <si>
    <t>ZQK48-FQZ22-IRAVT-WYG1Q-OMCNZ</t>
  </si>
  <si>
    <t>02-INV20231229001</t>
  </si>
  <si>
    <t>4MQVO-AAGRW-2NE7F-YH3RE-USKBT</t>
  </si>
  <si>
    <t>02-INV20240106001</t>
  </si>
  <si>
    <t>M5OLK-SZKZZ-LJUDQ-268GK-3CEY2</t>
  </si>
  <si>
    <t>XOGK1-4JZUQ-Z5JWT-TF2RS-ALALX</t>
  </si>
  <si>
    <t>PT BUMIDA 1967</t>
  </si>
  <si>
    <t>02-PT MASINDO20240110001</t>
  </si>
  <si>
    <t>NI7P7-5H4C2-8JKOG-N394L-MG568</t>
  </si>
  <si>
    <t>PATTON INTERNATIONAL LIMITED</t>
  </si>
  <si>
    <t>02-PRASOFT20240115001</t>
  </si>
  <si>
    <t>IA6Y3-X8K1B-AJJHY-1YJ1W-ZHW5U</t>
  </si>
  <si>
    <t>Shanghai Dinghao Network Technology Co., Ltd</t>
  </si>
  <si>
    <t>Advanced Digital Synergy Company Limited</t>
  </si>
  <si>
    <t>WPS预览编辑服务(中台版)</t>
  </si>
  <si>
    <t>预览服务-永久授权，编辑服务-3Yr
PO金额是RMB252000</t>
  </si>
  <si>
    <t>Masindo stock 20240116</t>
  </si>
  <si>
    <t>总财收数据</t>
  </si>
  <si>
    <t>PS:</t>
  </si>
  <si>
    <r>
      <rPr>
        <b/>
        <sz val="16"/>
        <color rgb="FF000000"/>
        <rFont val="微软雅黑"/>
        <charset val="134"/>
      </rPr>
      <t>累计财收</t>
    </r>
  </si>
  <si>
    <r>
      <rPr>
        <b/>
        <sz val="16"/>
        <color rgb="FF000000"/>
        <rFont val="微软雅黑"/>
        <charset val="134"/>
      </rPr>
      <t>财收目标</t>
    </r>
  </si>
  <si>
    <t>当月达成率</t>
  </si>
  <si>
    <t>1.调整收入统计维度为实际财收, 月度更新一次(无法实时反映周销售进展)</t>
  </si>
  <si>
    <r>
      <rPr>
        <b/>
        <sz val="16"/>
        <color rgb="FF000000"/>
        <rFont val="微软雅黑"/>
        <charset val="134"/>
      </rPr>
      <t>（美元）</t>
    </r>
  </si>
  <si>
    <t>2.月度销售进展还是以实际开具发票的订单进行统计(实际入账周期会因为经销商的回款周期有所不同)</t>
  </si>
  <si>
    <t>1月销售数据（截至目前）</t>
  </si>
  <si>
    <r>
      <rPr>
        <b/>
        <sz val="16"/>
        <color rgb="FF000000"/>
        <rFont val="微软雅黑"/>
        <charset val="134"/>
      </rPr>
      <t>订单数</t>
    </r>
  </si>
  <si>
    <r>
      <rPr>
        <b/>
        <sz val="16"/>
        <color rgb="FF000000"/>
        <rFont val="微软雅黑"/>
        <charset val="134"/>
      </rPr>
      <t>订单收入</t>
    </r>
  </si>
  <si>
    <t>2月销售数据（截至目前）</t>
  </si>
  <si>
    <t>3月销售数据（截至目前）</t>
  </si>
  <si>
    <t>4月销售数据（截至目前）</t>
  </si>
  <si>
    <t>5月销售数据（截至目前）</t>
  </si>
  <si>
    <t>6月销售数据（截至目前）</t>
  </si>
  <si>
    <t>7月销售数据（截至目前）</t>
  </si>
  <si>
    <t>8月销售数据（截至目前）</t>
  </si>
  <si>
    <t>9月销售数据（截至目前）</t>
  </si>
  <si>
    <t>10月销售数据（截至目前）</t>
  </si>
  <si>
    <t>11月销售数据（截至目前）</t>
  </si>
  <si>
    <t>12月销售数据（截至目前）</t>
  </si>
  <si>
    <t>2025-08-05Azec2021年库存更换为2025年新的license</t>
  </si>
  <si>
    <t>Original code（disabled）</t>
  </si>
  <si>
    <t>New code</t>
  </si>
  <si>
    <t>Expiration date</t>
  </si>
  <si>
    <t>WPS Office For Business(2Y)</t>
  </si>
  <si>
    <t>WJTQV-YVZB6-RLATK-TFAGV-RLYNR</t>
  </si>
  <si>
    <t>B2TX8-I6C6S-ZHHMU-JI1D9-TCCAL</t>
  </si>
  <si>
    <t>51TR9-1GZ2R-2RIKW-FN7H7-82Q9Y</t>
  </si>
  <si>
    <t>NIUR4-FA6QS-1FXSV-WKCY2-USSRW</t>
  </si>
  <si>
    <t>WPS Office For Business(4Y)</t>
  </si>
  <si>
    <t>WPS Office For Business(5Y)</t>
  </si>
  <si>
    <t>AER4W-4L27L-Q9WB3-M47AU-373CH</t>
  </si>
  <si>
    <t>6KBR9-QFPF3-3KUSB-CG86G-LZJRY</t>
  </si>
  <si>
    <t>WPS Office For Business(10Y)</t>
  </si>
  <si>
    <t>223VU-JPS8K-KPQV1-8HUQZ-1F2UQ</t>
  </si>
  <si>
    <t>4TBAR-ENMIW-LQ6MN-PP3KR-E3NB4</t>
  </si>
  <si>
    <t>MM57I-3U7F8-IDF34-4J6AX-S384S</t>
  </si>
  <si>
    <t>1OAUM-CC1O5-4924J-PBL68-NXFYX</t>
  </si>
  <si>
    <t>PNJ9C-82HOO-IHRNK-ID3ER-3QAUJ</t>
  </si>
  <si>
    <t>HA5CA-HSQTH-DJRLX-YGGDT-GSOV4</t>
  </si>
  <si>
    <t>WPS Pro(2Y)</t>
  </si>
  <si>
    <t>WPS Pro(5Y)</t>
  </si>
  <si>
    <t>WPS Pro(10Y)</t>
  </si>
  <si>
    <t>PDF Pro For Business(2Y)</t>
  </si>
  <si>
    <t>PDF Pro For Business(3Y)</t>
  </si>
  <si>
    <t>场地授权-WPS Office For Business</t>
  </si>
  <si>
    <t>WPS Pro for Team(1Y)</t>
  </si>
  <si>
    <t>WPS Pro for Team(2Y)</t>
  </si>
  <si>
    <t>WPS Pro for Team(3Y)</t>
  </si>
  <si>
    <t>WPS Pro for Team(5Y)</t>
  </si>
  <si>
    <t>WPS Pro for Team(1M)</t>
  </si>
  <si>
    <t>customer</t>
  </si>
  <si>
    <t>product</t>
  </si>
  <si>
    <t>rental</t>
  </si>
  <si>
    <t>period</t>
  </si>
  <si>
    <t>quantity</t>
  </si>
  <si>
    <t>license id</t>
  </si>
  <si>
    <t>PT. Lion Mentari</t>
  </si>
  <si>
    <t>lifetime</t>
  </si>
  <si>
    <t>OHPXE-C7L7I-GML65-G9X66-5NJ2Z</t>
  </si>
  <si>
    <t>8RPU5-3GY26-J73PI-7IO79-E4P47</t>
  </si>
  <si>
    <t>RDB6X-YOAQV-99BCI-K3S37-IOYYU</t>
  </si>
  <si>
    <t>COTMZ-ILCDV-8DUP6-4OXEG-G2PD4</t>
  </si>
  <si>
    <t>PT. LION BOGA</t>
  </si>
  <si>
    <t>NJ5NF-C95OS-FTZVH-UVR3D-LQB2M</t>
  </si>
  <si>
    <t>PT. Batam Teknik</t>
  </si>
  <si>
    <t>AQ4ST-L79FX-TM2RY-V3EXK-U3QTD</t>
  </si>
  <si>
    <t>7NR1I-OZNAJ-956E6-484P4-Y9X7U</t>
  </si>
  <si>
    <t>PT. WINGS ABADI</t>
  </si>
  <si>
    <t>D4VEV-WJ6VE-V6UZT-QQPFS-O9J2G</t>
  </si>
  <si>
    <t>PT. Batik Air Indonesia</t>
  </si>
  <si>
    <t>L8X87-4PJRW-6HC76-EUSKQ-IWJ78</t>
  </si>
  <si>
    <t>DXJI9-NUYGR-9N5F3-IVAS5-1J77X</t>
  </si>
  <si>
    <t>PT. Lion Express</t>
  </si>
  <si>
    <t>1IOQJ-QSWGX-HUQ5U-TSCOF-YXJ41</t>
  </si>
  <si>
    <t>8ASPX-ZOKI6-WPJUW-BFKVH-DB61I</t>
  </si>
  <si>
    <t>CG373-2K35V-3WTDN-S4VMW-DJ3KI</t>
  </si>
  <si>
    <t>3P93L-XLGUG-AYKED-WQV2K-NGYQP</t>
  </si>
  <si>
    <t>PT. LION GRUP-PT. WINGS ABADI</t>
  </si>
  <si>
    <t>U7WX9-PTXL6-3VCFJ-9Q598-BGSKO</t>
  </si>
  <si>
    <t>PT. LION GRUP-PT. Batik Air Indonesia</t>
  </si>
  <si>
    <t>XO2PA-XHNIL-711XA-SFLE8-1SK31</t>
  </si>
  <si>
    <t>PT. LION GRUP-PT. LION GRUP</t>
  </si>
  <si>
    <t>EY6GD-B71HZ-E9QK4-WOXAW-HQARR</t>
  </si>
  <si>
    <t>PT. LION GRUP-PT. ANGKASA SUPER SERVICES</t>
  </si>
  <si>
    <t>DEZAM-NEL6O-AIVWH-82R6S-REY9U</t>
  </si>
  <si>
    <t>PT. LION GRUP-PT. LION BOGA</t>
  </si>
  <si>
    <t>BCNZE-5GQ5X-5K5M7-3MJYG-8I3AM</t>
  </si>
  <si>
    <t>PT. LION GRUP-PT. Lion Mentari</t>
  </si>
  <si>
    <t>FJK1O-YJEGT-RI1VG-6NXW9-LFR6G</t>
  </si>
  <si>
    <t>1EYPX-8TCUV-PHFJE-HAU2E-T6WWZ</t>
  </si>
  <si>
    <t>PT. LION GRUP-PT. Super Air Jet</t>
  </si>
  <si>
    <t>9GVEV-NJP8J-79JB1-SAROI-8RV8A</t>
  </si>
  <si>
    <t>PT. LION GRUP-PT. KABIN KITA TOP</t>
  </si>
  <si>
    <t>P2UPO-N7QKB-IKYGK-9NXNL-MJNS4</t>
  </si>
  <si>
    <t>FJCLP-2IMJN-FB4WL-ZNL94-LCBAT</t>
  </si>
  <si>
    <t>ADOVN-WZVVB-EPNPI-OW1UT-9UY8F</t>
  </si>
  <si>
    <t>2RRHK-LIZ55-LWZSU-JUDPG-LOD8S</t>
  </si>
  <si>
    <t>PT. LION GRUP-PT. Wings Abadi </t>
  </si>
  <si>
    <t>5XU6G-JL5B2-FSWHN-B9ERC-CJGH7</t>
  </si>
  <si>
    <t>VUXQT-LR1TZ-JRX16-XTHI2-NPZFB</t>
  </si>
  <si>
    <t>N1UIH-O4G4F-D2C3X-BO8RR-OPCWY</t>
  </si>
  <si>
    <t>PT. LION GRUP-PT. Lion Express </t>
  </si>
  <si>
    <t>P4N6K-JYROC-WTBOI-GMS89-7YCGV</t>
  </si>
  <si>
    <t>PT. LION GRUP-PT. Lion Mentari </t>
  </si>
  <si>
    <t>Z31DW-KTO4W-KCVB5-1OIE3-S2PRM</t>
  </si>
  <si>
    <t>PT. LION GRUP-PT. Lion Grup</t>
  </si>
  <si>
    <t>KZUF5-MXPJ7-EM9MG-5QGN7-UI5M8</t>
  </si>
  <si>
    <t>PT. LION GRUP-PT. Batam Teknik</t>
  </si>
  <si>
    <t>1SQNO-C82P8-IF78X-PVMV4-GB5C2</t>
  </si>
  <si>
    <t>V2JJN-57X2K-EGD6G-H1UXM-MNO7X</t>
  </si>
  <si>
    <t>JSWEL-36KP9-86SVK-YUG2G-CTTXF</t>
  </si>
  <si>
    <t>Y529U-ZDOCR-C1QK3-EDKIO-5GQPO</t>
  </si>
  <si>
    <t>FC779-C55E5-HSN4C-TBP47-ZS6C8</t>
  </si>
  <si>
    <t>KN747-233SU-298TS-JPXM9-4PQJF</t>
  </si>
  <si>
    <t>MUUZC-CO8QC-OB72K-81HYK-N12WB</t>
  </si>
  <si>
    <t>PT. LION GRUP-PT. Batam Teknik </t>
  </si>
  <si>
    <t>2I1LN-XKKOD-MZY8Z-L8K1C-RNJUG</t>
  </si>
  <si>
    <t>HTKTG-WNLPL-9HQJI-NCJYP-QYYF2</t>
  </si>
  <si>
    <t>FA4HX-IJK3W-PPH2C-T1VXZ-3AMDQ</t>
  </si>
  <si>
    <t>Lion Group-PT. Kabin Kita Top</t>
  </si>
  <si>
    <t>GTFZD-QSTZQ-XB2KH-JHJFW-ES2WF</t>
  </si>
  <si>
    <t>Lion Group-PT. Batam Teknik</t>
  </si>
  <si>
    <t>2A49X-8G9OK-MWKPW-MXVXR-CCQRJ</t>
  </si>
  <si>
    <t>Lion Group-PT. Lion Grup</t>
  </si>
  <si>
    <t>ZNMPY-8W5QO-OYO7J-KFMH4-M18KW</t>
  </si>
  <si>
    <t>Lion Group-PT. Lion Mentari</t>
  </si>
  <si>
    <t>RTIGV-EBWIK-YIRSM-RF7M8-2GQK1</t>
  </si>
  <si>
    <t>L2PPF-GQO5Z-8B7JE-7QEL4-7BL78</t>
  </si>
  <si>
    <t>VTEWP-SRUGQ-6C2M3-5G67U-EDB4H</t>
  </si>
  <si>
    <t>S3JSF-7FYG1-NH9J4-F3X5N-71DHH</t>
  </si>
  <si>
    <t>WFOX9-CIPMY-RXR43-JQ3MB-HXD49</t>
  </si>
  <si>
    <t>Lion Group-PT. Wings Abadi</t>
  </si>
  <si>
    <t>MUGCH-8GTIR-DJYH3-D8X31-CATUG</t>
  </si>
  <si>
    <t>Lion Group-PT. Super Air Jet</t>
  </si>
  <si>
    <t>32AC1-9MZYF-MESSO-XZD8G-EAZPT</t>
  </si>
  <si>
    <t>1NCHW-SO871-OZREX-1U7GE-M5LIQ</t>
  </si>
  <si>
    <t>EXR1S-W3VUS-64X9N-ON9EU-VH9AQ</t>
  </si>
  <si>
    <t>Lion Group-PT. Batik Air Indonesia</t>
  </si>
  <si>
    <t>32GXD-PRMM5-VJK1B-LLN1G-ARJMM</t>
  </si>
  <si>
    <t>Lion Group-PT. Lion Express</t>
  </si>
  <si>
    <t>ZQMW4-C1GX1-3TLPB-FH9JM-5J1W8</t>
  </si>
  <si>
    <t>5BCGV-VDNUZ-6GPW7-CU53D-H3URL</t>
  </si>
  <si>
    <t>8ALRM-VQA8V-5YZR9-2R6XY-EE6SG</t>
  </si>
  <si>
    <t>7DWFZ-QROFC-UDZ3Z-F3IDP-AHSH2</t>
  </si>
  <si>
    <t>5B8MX-2XIFT-WSIOH-RSJZX-1X9J6</t>
  </si>
  <si>
    <t>LCJIM-K9DMQ-18D2M-YDXF3-TQV31</t>
  </si>
  <si>
    <t>X2T6V-J7ZDJ-TG131-SWXVP-LWH5O</t>
  </si>
  <si>
    <t>MMHEG-L7RI7-VSRT2-8Q7B5-LND9R</t>
  </si>
  <si>
    <t>DR13Z-Y2DBL-JMJCU-DBU65-B1E24</t>
  </si>
  <si>
    <t>Lion Group-PT. Wings Abadi </t>
  </si>
  <si>
    <t>GS1E5-VGNFH-M1JTJ-63AB9-H8279</t>
  </si>
  <si>
    <t>X178H-O25N1-TQCMP-SWAAT-GCNX2</t>
  </si>
  <si>
    <t>MOMH6-TJD53-T8W67-CYJG6-JONN5</t>
  </si>
  <si>
    <t>44DNN-G4KJ1-QDCFL-6WOS9-13677</t>
  </si>
  <si>
    <t>25D96-Q3M1B-AOTA4-TM2OW-7FC9X</t>
  </si>
  <si>
    <t>TMAMI-XNIJ7-QV57G-1GYC6-W5686</t>
  </si>
  <si>
    <t>25ICV-36T9R-D5S58-5ST2Q-B5RP4</t>
  </si>
  <si>
    <t>PHKD3-6JFUA-BE9YW-1L1WR-QKQ9S</t>
  </si>
  <si>
    <t>9XAF4-CDTRF-98LTB-ZO3MN-IH1WX</t>
  </si>
  <si>
    <t>ZARG5-S6SI5-CIWAK-DMDKS-QRCRG</t>
  </si>
  <si>
    <t>Lion Group-PT. Lion Mentari </t>
  </si>
  <si>
    <t>ZYI9G-YH5CK-6LPMG-1LAPX-ZGT2O</t>
  </si>
  <si>
    <t>1JNRZ-KCPOB-913MV-5QLK5-RPB7H</t>
  </si>
  <si>
    <t>QUZS7-VUMJV-DQ3OD-KOQ9O-Z4TFR</t>
  </si>
  <si>
    <t>Lion Group-PT. Lion Group</t>
  </si>
  <si>
    <t>XLMLM-37AMD-84APH-DTYP4-PUV7B</t>
  </si>
  <si>
    <t>6LYQO-OWYMK-SGGDN-MRMNX-CRU6O</t>
  </si>
  <si>
    <t>16TCG-1RYPI-WUZYM-VJ1SL-EXTUU</t>
  </si>
  <si>
    <t>QI4PP-YOOH8-E7WUW-D7DSV-UWMI2</t>
  </si>
  <si>
    <t>T3RBL-ON5GO-XFD12-1NGO6-8KBQR</t>
  </si>
  <si>
    <t>NV9UA-H7KBE-7EDK5-9JLX1-85GGW</t>
  </si>
  <si>
    <t>A9ZB7-SBOIQ-BS3VQ-T53B6-YRYX2</t>
  </si>
  <si>
    <t>Lion Group-PT. Lion Group </t>
  </si>
  <si>
    <t>K664L-8VF8D-RXFBT-PI99B-KAIKV</t>
  </si>
  <si>
    <t>ZE2U1-Y6ADF-Q21LT-CMS8G-GVQ6K</t>
  </si>
  <si>
    <t>E32JS-TR219-JY4ZL-E8B8N-QKVP8</t>
  </si>
  <si>
    <t>JY41F-CG3AR-YJUIA-LBITB-OC6FA</t>
  </si>
  <si>
    <t>7NYA2-NXD9X-PP5SR-MSQXO-GPSWY</t>
  </si>
  <si>
    <t>Lion Group-PT. Batam Teknik </t>
  </si>
  <si>
    <t>MXFXQ-OB143-BC9KF-K7NCI-785P9</t>
  </si>
  <si>
    <t>EMBQZ-2NKLF-2AO93-ARZ6J-IOIQS</t>
  </si>
  <si>
    <t>3F544-2R6LF-NEVL2-VAIHM-GTDPB</t>
  </si>
  <si>
    <t>ZT7Q4-FLTWL-HOVLY-JXVFQ-1ECXH</t>
  </si>
  <si>
    <t>JHPOD-KBWEJ-G6FMK-E1486-LDJUD</t>
  </si>
  <si>
    <t>Lion Group-PT. Angkasa Super Service Beta</t>
  </si>
  <si>
    <t>8FB72-YWBZN-KQAVR-6J4TW-SHUF7</t>
  </si>
  <si>
    <t>Lion Group-PT. Super Air Jet </t>
  </si>
  <si>
    <t>X8HA3-RF7YO-ZYBUJ-45LMW-X722F</t>
  </si>
  <si>
    <t>Lion Group-PT. Batam Teknik</t>
  </si>
  <si>
    <t>EUC5U-QN895-MTHV8-PQZYQ-ZGOPI</t>
  </si>
  <si>
    <t>PT Industri Kereta Api (INKA) has officially committed to completing the procurement of 500 licenses by 30 September 2026.</t>
  </si>
  <si>
    <t>PT Timah Tbk</t>
  </si>
  <si>
    <t>1IX4B-UMX7T-623DQ-7GNXO-AUYYW</t>
  </si>
  <si>
    <t>PT Prodia Widyahusada</t>
  </si>
  <si>
    <t>KY6M6-G82OE-SL1AZ-2JFWI-WTLI7</t>
  </si>
  <si>
    <t>EPB4U-FNQND-YVANV-6EQIV-SXBRJ</t>
  </si>
  <si>
    <t>PT Promanufacture Indonesia-PT Prodia Widyahusada</t>
  </si>
  <si>
    <t>X974U-PQOSO-4TFWV-R61XW-FPSG4</t>
  </si>
  <si>
    <t>PT Promanufacture Indonesia</t>
  </si>
  <si>
    <t>XJ5MC-L4KPR-KEQ6Z-93S36-QNPQA</t>
  </si>
  <si>
    <t>G1YFA-9XUNT-TEKTM-E5FQ2-8DYNR</t>
  </si>
  <si>
    <t>SUPER JET GROUP-SUPER AIR JET</t>
  </si>
  <si>
    <t>EVVT6-3JAHE-ZBT31-VMVAX-VPU14</t>
  </si>
  <si>
    <t>SUPER JET GROUP-BATIK AIR</t>
  </si>
  <si>
    <t>24ISZ-CP9EA-8YTXE-3YR7X-PMY3Q</t>
  </si>
  <si>
    <t>SUPER JET GROUP-BATAM TEKNIK</t>
  </si>
  <si>
    <t>1LHC9-MD9TK-SE6GR-C4OV3-25OXV</t>
  </si>
  <si>
    <t>SUPER JET GROUP</t>
  </si>
  <si>
    <t>9IEAE-JAQZM-75M6Q-YSJE8-R3J3T</t>
  </si>
  <si>
    <t>5X73S-BFJNC-2LCOA-Z5I44-5TJCI</t>
  </si>
  <si>
    <t>Remaining quantity（at least）</t>
  </si>
  <si>
    <t>total amount（2025$）</t>
  </si>
  <si>
    <t>PT KALIMANTAN ALUMINIUM INDUSTRY</t>
  </si>
  <si>
    <t>PT. Kansai Prakarsa Coatings</t>
  </si>
  <si>
    <t>AGUNG SEDAYU GROUP</t>
  </si>
  <si>
    <t>PT. Avia Avian, Tbk</t>
  </si>
  <si>
    <t>SUM</t>
  </si>
  <si>
    <t>PT. ANUGRAH PRIMA LANGGENG (Gramala)</t>
  </si>
  <si>
    <t>PT Metropolitanland Tbk</t>
  </si>
  <si>
    <t>PT. SUKSES MANTAP SEJAHTERA</t>
  </si>
  <si>
    <t>SD Negeri Kedawung 1</t>
  </si>
  <si>
    <t>SD Negeri Sragen 1</t>
  </si>
  <si>
    <t>SD Negeri Puro 1</t>
  </si>
  <si>
    <t>SD Negeri Gemolong 2</t>
  </si>
  <si>
    <t>SD Negeri Mojopuro 1</t>
  </si>
  <si>
    <t>PT. PRESTASI RETAIL INNOVATION</t>
  </si>
  <si>
    <t>PT. MITRA PRODIN</t>
  </si>
  <si>
    <t>PT. Samora Usaha Makmur</t>
  </si>
  <si>
    <t>PT. Sentra Usahatama Jaya</t>
  </si>
  <si>
    <t>PT.AGPR Law Firm</t>
  </si>
  <si>
    <t>PT. Andalan Furnindo</t>
  </si>
  <si>
    <t>Masindo stock 20240510</t>
  </si>
  <si>
    <t>PT. Medan Sugar Industri</t>
  </si>
  <si>
    <t>PT. Perkakas Sumber Karya</t>
  </si>
  <si>
    <t>PT BETONJAYA MANUNGGAL TBK</t>
  </si>
  <si>
    <t>Masindo  stock - 20241029</t>
  </si>
  <si>
    <t>Nur Santoso</t>
  </si>
  <si>
    <t>PT. Indoguna Utama</t>
  </si>
  <si>
    <t>SERPONG CIPTA CAHAYA</t>
  </si>
  <si>
    <t>PDAM TIRTA MOEDAL KOTA SEMARANG</t>
  </si>
  <si>
    <t>Masindo stock 20240822</t>
  </si>
  <si>
    <t>MASINDO stock - 20240927</t>
  </si>
  <si>
    <t>Masindo stock - 20241009</t>
  </si>
  <si>
    <t>Masindo stock - 20241014</t>
  </si>
  <si>
    <t>Product Type</t>
  </si>
  <si>
    <t>rate</t>
  </si>
  <si>
    <t>Amount</t>
  </si>
  <si>
    <t>1year</t>
  </si>
  <si>
    <t>3/5year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</si>
</sst>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;@"/>
    <numFmt numFmtId="177" formatCode="[=1]&quot;☑&quot;;[=0]&quot;☐&quot;;0;@"/>
    <numFmt numFmtId="178" formatCode="yyyy&quot;年&quot;m&quot;月&quot;d&quot;日&quot;;@"/>
  </numFmts>
  <fonts count="45">
    <font>
      <sz val="11"/>
      <color theme="1"/>
      <name val="宋体"/>
      <charset val="134"/>
      <scheme val="minor"/>
    </font>
    <font>
      <b/>
      <sz val="10"/>
      <color rgb="FF000000"/>
      <name val="Calibri"/>
      <charset val="134"/>
    </font>
    <font>
      <sz val="11"/>
      <color rgb="FF000000"/>
      <name val="Calibri"/>
      <charset val="134"/>
    </font>
    <font>
      <sz val="11"/>
      <color rgb="FFFF0000"/>
      <name val="Calibri"/>
      <charset val="134"/>
    </font>
    <font>
      <sz val="11"/>
      <color rgb="FF000000"/>
      <name val="宋体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FF0000"/>
      <name val="微软雅黑"/>
      <charset val="134"/>
    </font>
    <font>
      <sz val="10.5"/>
      <color rgb="FF000000"/>
      <name val="宋体"/>
      <charset val="134"/>
    </font>
    <font>
      <b/>
      <sz val="16"/>
      <color rgb="FFFFFFFF"/>
      <name val="宋体"/>
      <charset val="134"/>
    </font>
    <font>
      <b/>
      <sz val="16"/>
      <color rgb="FF000000"/>
      <name val="微软雅黑"/>
      <charset val="134"/>
    </font>
    <font>
      <sz val="16"/>
      <color rgb="FF000000"/>
      <name val="微软雅黑"/>
      <charset val="134"/>
    </font>
    <font>
      <sz val="16"/>
      <color rgb="FFFFFFFF"/>
      <name val="宋体"/>
      <charset val="134"/>
    </font>
    <font>
      <b/>
      <sz val="11"/>
      <color rgb="FF000000"/>
      <name val="Calibri"/>
      <charset val="134"/>
    </font>
    <font>
      <b/>
      <sz val="10"/>
      <color rgb="FF000000"/>
      <name val="汉仪书宋二KW"/>
      <charset val="134"/>
    </font>
    <font>
      <sz val="11"/>
      <color rgb="FF000000"/>
      <name val="汉仪书宋二KW"/>
      <charset val="134"/>
    </font>
    <font>
      <sz val="12"/>
      <color rgb="FF000000"/>
      <name val="Calibri"/>
      <charset val="134"/>
    </font>
    <font>
      <sz val="10.5"/>
      <color rgb="FF000000"/>
      <name val="Calibri"/>
      <charset val="134"/>
    </font>
    <font>
      <b/>
      <sz val="10.5"/>
      <color rgb="FF000000"/>
      <name val="Calibri"/>
      <charset val="134"/>
    </font>
    <font>
      <sz val="10"/>
      <color rgb="FF000000"/>
      <name val="Calibri"/>
      <charset val="134"/>
    </font>
    <font>
      <sz val="9.75"/>
      <color rgb="FF000000"/>
      <name val="Calibri"/>
      <charset val="134"/>
    </font>
    <font>
      <b/>
      <sz val="8.5"/>
      <color rgb="FF000000"/>
      <name val="Calibri"/>
      <charset val="134"/>
    </font>
    <font>
      <sz val="9.5"/>
      <color rgb="FF000000"/>
      <name val="Calibri"/>
      <charset val="134"/>
    </font>
    <font>
      <sz val="9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汉仪书宋二KW"/>
      <charset val="134"/>
    </font>
    <font>
      <sz val="10.5"/>
      <color rgb="FF000000"/>
      <name val="汉仪书宋二KW"/>
      <charset val="134"/>
    </font>
  </fonts>
  <fills count="38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B7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8" borderId="8" applyNumberFormat="0" applyAlignment="0" applyProtection="0">
      <alignment vertical="center"/>
    </xf>
    <xf numFmtId="0" fontId="33" fillId="9" borderId="9" applyNumberFormat="0" applyAlignment="0" applyProtection="0">
      <alignment vertical="center"/>
    </xf>
    <xf numFmtId="0" fontId="34" fillId="9" borderId="8" applyNumberFormat="0" applyAlignment="0" applyProtection="0">
      <alignment vertical="center"/>
    </xf>
    <xf numFmtId="0" fontId="35" fillId="10" borderId="10" applyNumberFormat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10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17" fontId="5" fillId="0" borderId="0" xfId="0" applyNumberFormat="1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77" fontId="2" fillId="0" borderId="0" xfId="0" applyNumberFormat="1" applyFont="1" applyAlignment="1">
      <alignment horizontal="center" vertical="center"/>
    </xf>
    <xf numFmtId="14" fontId="0" fillId="0" borderId="0" xfId="0" applyNumberFormat="1">
      <alignment vertical="center"/>
    </xf>
    <xf numFmtId="0" fontId="9" fillId="3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24" fontId="11" fillId="0" borderId="2" xfId="0" applyNumberFormat="1" applyFont="1" applyBorder="1" applyAlignment="1">
      <alignment horizontal="center" vertical="center" wrapText="1"/>
    </xf>
    <xf numFmtId="10" fontId="11" fillId="0" borderId="2" xfId="0" applyNumberFormat="1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24" fontId="11" fillId="0" borderId="2" xfId="0" applyNumberFormat="1" applyFont="1" applyBorder="1" applyAlignment="1">
      <alignment horizontal="center" vertical="center"/>
    </xf>
    <xf numFmtId="0" fontId="4" fillId="5" borderId="2" xfId="0" applyFont="1" applyFill="1" applyBorder="1">
      <alignment vertical="center"/>
    </xf>
    <xf numFmtId="0" fontId="4" fillId="0" borderId="2" xfId="0" applyFont="1" applyBorder="1">
      <alignment vertical="center"/>
    </xf>
    <xf numFmtId="14" fontId="0" fillId="0" borderId="2" xfId="0" applyNumberFormat="1" applyBorder="1">
      <alignment vertical="center"/>
    </xf>
    <xf numFmtId="0" fontId="2" fillId="6" borderId="0" xfId="0" applyFont="1" applyFill="1">
      <alignment vertical="center"/>
    </xf>
    <xf numFmtId="0" fontId="13" fillId="2" borderId="0" xfId="0" applyFont="1" applyFill="1" applyAlignment="1">
      <alignment horizontal="center" vertical="center"/>
    </xf>
    <xf numFmtId="176" fontId="13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176" fontId="2" fillId="0" borderId="0" xfId="0" applyNumberFormat="1" applyFont="1" applyFill="1" applyBorder="1" applyAlignment="1">
      <alignment horizontal="center" vertical="center"/>
    </xf>
    <xf numFmtId="31" fontId="2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center" vertical="center"/>
    </xf>
    <xf numFmtId="31" fontId="2" fillId="0" borderId="0" xfId="0" applyNumberFormat="1" applyFont="1" applyFill="1" applyBorder="1" applyAlignment="1">
      <alignment horizontal="left" vertical="center"/>
    </xf>
    <xf numFmtId="177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31" fontId="2" fillId="0" borderId="0" xfId="0" applyNumberFormat="1" applyFont="1" applyAlignment="1">
      <alignment horizontal="right" vertical="center"/>
    </xf>
    <xf numFmtId="31" fontId="2" fillId="0" borderId="0" xfId="0" applyNumberFormat="1" applyFont="1" applyAlignment="1">
      <alignment horizontal="left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31" fontId="2" fillId="0" borderId="0" xfId="0" applyNumberFormat="1" applyFont="1">
      <alignment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/>
    </xf>
    <xf numFmtId="0" fontId="16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31" fontId="15" fillId="0" borderId="0" xfId="0" applyNumberFormat="1" applyFont="1" applyAlignment="1">
      <alignment horizontal="left" vertical="center"/>
    </xf>
    <xf numFmtId="178" fontId="2" fillId="0" borderId="0" xfId="0" applyNumberFormat="1" applyFont="1" applyAlignment="1">
      <alignment horizontal="left" vertical="center"/>
    </xf>
    <xf numFmtId="178" fontId="15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>
      <alignment vertical="center"/>
    </xf>
    <xf numFmtId="178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178" fontId="2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16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0" fontId="22" fillId="0" borderId="0" xfId="0" applyFont="1">
      <alignment vertical="center"/>
    </xf>
    <xf numFmtId="177" fontId="17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77" fontId="2" fillId="0" borderId="0" xfId="0" applyNumberFormat="1" applyFont="1" applyFill="1" applyAlignment="1">
      <alignment horizontal="center" vertical="center"/>
    </xf>
    <xf numFmtId="0" fontId="23" fillId="0" borderId="0" xfId="0" applyFont="1">
      <alignment vertical="center"/>
    </xf>
    <xf numFmtId="176" fontId="2" fillId="6" borderId="0" xfId="0" applyNumberFormat="1" applyFont="1" applyFill="1" applyAlignment="1">
      <alignment horizontal="center" vertical="center"/>
    </xf>
    <xf numFmtId="178" fontId="2" fillId="6" borderId="0" xfId="0" applyNumberFormat="1" applyFont="1" applyFill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177" fontId="2" fillId="6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customXml" Target="../customXml/item3.xml"/><Relationship Id="rId14" Type="http://schemas.openxmlformats.org/officeDocument/2006/relationships/customXml" Target="../customXml/item2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tmov.com.br" TargetMode="External"/><Relationship Id="rId2" Type="http://schemas.openxmlformats.org/officeDocument/2006/relationships/hyperlink" Target="https://sqsystems.com" TargetMode="External"/><Relationship Id="rId1" Type="http://schemas.openxmlformats.org/officeDocument/2006/relationships/hyperlink" Target="https://www.crisohio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tabSelected="1" workbookViewId="0">
      <pane ySplit="1" topLeftCell="A2" activePane="bottomLeft" state="frozen"/>
      <selection/>
      <selection pane="bottomLeft" activeCell="E6" sqref="E6"/>
    </sheetView>
  </sheetViews>
  <sheetFormatPr defaultColWidth="9.02727272727273" defaultRowHeight="14.5" outlineLevelRow="5"/>
  <cols>
    <col min="1" max="1" width="8.62727272727273" style="8" customWidth="1"/>
    <col min="2" max="2" width="37.2545454545455" style="8" customWidth="1"/>
    <col min="3" max="3" width="11.5" style="6" customWidth="1"/>
    <col min="4" max="4" width="10.5909090909091" style="8" hidden="1" customWidth="1"/>
    <col min="5" max="5" width="50" style="8" customWidth="1"/>
    <col min="6" max="6" width="14.0454545454545" style="8" hidden="1" customWidth="1"/>
    <col min="7" max="7" width="13.2909090909091" style="8" hidden="1" customWidth="1"/>
    <col min="8" max="8" width="27.7545454545455" style="8" customWidth="1"/>
    <col min="9" max="9" width="9.5" style="9" customWidth="1"/>
    <col min="10" max="10" width="10" style="9" customWidth="1"/>
    <col min="11" max="11" width="8" style="9" customWidth="1"/>
    <col min="12" max="12" width="7.5" style="9" customWidth="1"/>
    <col min="13" max="13" width="10.6272727272727" style="9" customWidth="1"/>
    <col min="14" max="14" width="13.9363636363636" style="6" customWidth="1"/>
    <col min="15" max="15" width="23.8727272727273" style="8" customWidth="1"/>
    <col min="16" max="16" width="10.7545454545455" style="20" customWidth="1"/>
    <col min="17" max="17" width="41.8727272727273" style="12" customWidth="1"/>
    <col min="18" max="18" width="30.6272727272727" style="8" customWidth="1"/>
    <col min="19" max="19" width="26.2545454545455" style="8" customWidth="1"/>
    <col min="20" max="20" width="9.87272727272727" style="8" customWidth="1"/>
    <col min="21" max="21" width="23.7545454545455" style="12" customWidth="1"/>
    <col min="22" max="16384" width="9.02727272727273" style="8"/>
  </cols>
  <sheetData>
    <row r="1" s="9" customFormat="1" ht="39" spans="1:21">
      <c r="A1" s="3" t="s">
        <v>0</v>
      </c>
      <c r="B1" s="36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37" t="s">
        <v>13</v>
      </c>
      <c r="O1" s="4" t="s">
        <v>14</v>
      </c>
      <c r="P1" s="38" t="s">
        <v>15</v>
      </c>
      <c r="Q1" s="39" t="s">
        <v>16</v>
      </c>
      <c r="R1" s="40" t="s">
        <v>17</v>
      </c>
      <c r="S1" s="40" t="s">
        <v>18</v>
      </c>
      <c r="T1" s="4" t="s">
        <v>19</v>
      </c>
      <c r="U1" s="40" t="s">
        <v>20</v>
      </c>
    </row>
    <row r="2" spans="1:21">
      <c r="A2" s="8" t="s">
        <v>21</v>
      </c>
      <c r="B2" s="8" t="s">
        <v>22</v>
      </c>
      <c r="C2" s="6">
        <v>46127</v>
      </c>
      <c r="E2" s="8" t="s">
        <v>23</v>
      </c>
      <c r="H2" s="8" t="s">
        <v>24</v>
      </c>
      <c r="I2" s="9" t="s">
        <v>25</v>
      </c>
      <c r="J2" s="9">
        <v>3</v>
      </c>
      <c r="K2" s="9">
        <v>44</v>
      </c>
      <c r="L2" s="9">
        <v>10</v>
      </c>
      <c r="M2" s="9">
        <f>K2*L2</f>
        <v>440</v>
      </c>
      <c r="N2" s="6">
        <v>46127</v>
      </c>
      <c r="O2" s="8" t="s">
        <v>26</v>
      </c>
      <c r="Q2" s="12" t="s">
        <v>27</v>
      </c>
    </row>
    <row r="3" spans="1:21">
      <c r="A3" s="8" t="s">
        <v>28</v>
      </c>
      <c r="B3" s="8" t="s">
        <v>29</v>
      </c>
      <c r="C3" s="6">
        <v>46127</v>
      </c>
      <c r="E3" s="8" t="s">
        <v>30</v>
      </c>
      <c r="H3" s="8" t="s">
        <v>31</v>
      </c>
      <c r="I3" s="9" t="s">
        <v>25</v>
      </c>
      <c r="J3" s="9">
        <v>1</v>
      </c>
      <c r="K3" s="9">
        <v>12</v>
      </c>
      <c r="L3" s="9">
        <v>100</v>
      </c>
      <c r="M3" s="9">
        <f>K3*L3</f>
        <v>1200</v>
      </c>
      <c r="N3" s="6">
        <v>46128</v>
      </c>
      <c r="O3" s="8" t="s">
        <v>32</v>
      </c>
      <c r="Q3" s="12" t="s">
        <v>27</v>
      </c>
    </row>
    <row r="4" spans="1:21">
      <c r="A4" s="8" t="s">
        <v>33</v>
      </c>
      <c r="B4" s="8" t="s">
        <v>34</v>
      </c>
      <c r="C4" s="6">
        <v>46128</v>
      </c>
      <c r="E4" s="8" t="s">
        <v>35</v>
      </c>
      <c r="H4" s="8" t="s">
        <v>31</v>
      </c>
      <c r="I4" s="9" t="s">
        <v>25</v>
      </c>
      <c r="J4" s="9">
        <v>1</v>
      </c>
      <c r="K4" s="9">
        <v>16</v>
      </c>
      <c r="L4" s="9">
        <v>1</v>
      </c>
      <c r="M4" s="9">
        <f>K4*L4</f>
        <v>16</v>
      </c>
      <c r="N4" s="6">
        <v>46128</v>
      </c>
      <c r="O4" s="75" t="s">
        <v>36</v>
      </c>
      <c r="Q4" s="12" t="s">
        <v>37</v>
      </c>
    </row>
    <row r="5" spans="1:21">
      <c r="A5" s="8" t="s">
        <v>21</v>
      </c>
      <c r="B5" s="8" t="s">
        <v>22</v>
      </c>
      <c r="C5" s="6">
        <v>46133</v>
      </c>
      <c r="E5" s="8" t="s">
        <v>38</v>
      </c>
      <c r="H5" s="8" t="s">
        <v>24</v>
      </c>
      <c r="I5" s="9" t="s">
        <v>25</v>
      </c>
      <c r="J5" s="9">
        <v>3</v>
      </c>
      <c r="K5" s="9">
        <v>30</v>
      </c>
      <c r="L5" s="9">
        <v>3</v>
      </c>
      <c r="M5" s="9">
        <f>K5*L5</f>
        <v>90</v>
      </c>
      <c r="Q5" s="12" t="s">
        <v>39</v>
      </c>
    </row>
    <row r="6" spans="1:21">
      <c r="A6" s="8" t="s">
        <v>33</v>
      </c>
      <c r="B6" s="8" t="s">
        <v>34</v>
      </c>
      <c r="C6" s="6">
        <v>46128</v>
      </c>
      <c r="E6" s="8" t="s">
        <v>40</v>
      </c>
      <c r="H6" s="8" t="s">
        <v>41</v>
      </c>
      <c r="I6" s="9" t="s">
        <v>25</v>
      </c>
      <c r="J6" s="9">
        <v>1</v>
      </c>
      <c r="K6" s="9">
        <v>10</v>
      </c>
      <c r="L6" s="9">
        <v>200</v>
      </c>
      <c r="M6" s="9">
        <f>K6*L6</f>
        <v>2000</v>
      </c>
      <c r="Q6" s="12" t="s">
        <v>42</v>
      </c>
    </row>
  </sheetData>
  <sheetProtection formatCells="0" insertHyperlinks="0" autoFilter="0"/>
  <autoFilter xmlns:etc="http://www.wps.cn/officeDocument/2017/etCustomData" ref="A1:T6" etc:filterBottomFollowUsedRange="1">
    <sortState ref="A1:T6">
      <sortCondition ref="E1" descending="1"/>
    </sortState>
    <extLst/>
  </autoFilter>
  <dataValidations count="5">
    <dataValidation type="list" allowBlank="1" showErrorMessage="1" errorTitle="错误提示" error="请输入下拉列表中的一个值" sqref="J1 J2:J1048576">
      <formula1>"1,2,3,4,5,10,lifetime"</formula1>
    </dataValidation>
    <dataValidation type="list" allowBlank="1" showErrorMessage="1" errorTitle="错误提示" error="请输入下拉列表中的一个值" sqref="H8 H2:H7 H10:H1048576" errorStyle="information">
      <formula1>汇总表!$A$56:$A$78</formula1>
    </dataValidation>
    <dataValidation type="date" operator="greaterThanOrEqual" allowBlank="1" showErrorMessage="1" errorTitle="输入内容有误" error="请输入正确的日期" sqref="C2:C1048576 N2:N1048576">
      <formula1>1</formula1>
    </dataValidation>
    <dataValidation type="list" allowBlank="1" showInputMessage="1" showErrorMessage="1" sqref="I2:I5 I7:I22">
      <formula1>"Rental,Lifetime"</formula1>
    </dataValidation>
    <dataValidation type="custom" allowBlank="1" showErrorMessage="1" errorTitle="输入内容有误" error="请选择勾选或取消勾选" sqref="P2:P1048576">
      <formula1>IF(TRUE,OR(P2=0,P2=1),"Checkbox")</formula1>
    </dataValidation>
  </dataValidations>
  <pageMargins left="0.75" right="0.75" top="1" bottom="1" header="0.5" footer="0.5"/>
  <headerFooter/>
  <ignoredErrors>
    <ignoredError sqref="J1" listDataValidatio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0"/>
  <sheetViews>
    <sheetView topLeftCell="B1" workbookViewId="0">
      <pane ySplit="1" topLeftCell="A2" activePane="bottomLeft" state="frozen"/>
      <selection/>
      <selection pane="bottomLeft" activeCell="A1" sqref="A1"/>
    </sheetView>
  </sheetViews>
  <sheetFormatPr defaultColWidth="9.02727272727273" defaultRowHeight="14.5"/>
  <cols>
    <col min="1" max="1" width="12.1272727272727" style="8" customWidth="1"/>
    <col min="2" max="2" width="27.2545454545455" style="8" customWidth="1"/>
    <col min="3" max="3" width="11.5" style="6" customWidth="1"/>
    <col min="4" max="4" width="10.5909090909091" style="8" hidden="1" customWidth="1"/>
    <col min="5" max="5" width="44.6272727272727" style="8" customWidth="1"/>
    <col min="6" max="6" width="28.1272727272727" style="8" customWidth="1"/>
    <col min="7" max="7" width="11.3727272727273" style="9" customWidth="1"/>
    <col min="8" max="8" width="10" style="9" customWidth="1"/>
    <col min="9" max="9" width="8" style="9" customWidth="1"/>
    <col min="10" max="10" width="7.5" style="9" customWidth="1"/>
    <col min="11" max="11" width="9.75454545454545" style="9" customWidth="1"/>
    <col min="12" max="12" width="13.9363636363636" style="6" customWidth="1"/>
    <col min="13" max="13" width="23.8727272727273" style="8" customWidth="1"/>
    <col min="14" max="14" width="10.7545454545455" style="20" customWidth="1"/>
    <col min="15" max="15" width="29.3727272727273" style="12" customWidth="1"/>
    <col min="16" max="17" width="26.2545454545455" style="8" customWidth="1"/>
    <col min="18" max="18" width="10.5909090909091" style="8" customWidth="1"/>
    <col min="19" max="19" width="23.7545454545455" style="12" customWidth="1"/>
    <col min="20" max="16384" width="9.02727272727273" style="8"/>
  </cols>
  <sheetData>
    <row r="1" s="9" customFormat="1" ht="39" spans="1:19">
      <c r="A1" s="3" t="s">
        <v>0</v>
      </c>
      <c r="B1" s="36" t="s">
        <v>1</v>
      </c>
      <c r="C1" s="2" t="s">
        <v>2</v>
      </c>
      <c r="D1" s="3" t="s">
        <v>3</v>
      </c>
      <c r="E1" s="3" t="s">
        <v>4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5" t="s">
        <v>12</v>
      </c>
      <c r="L1" s="37" t="s">
        <v>13</v>
      </c>
      <c r="M1" s="4" t="s">
        <v>14</v>
      </c>
      <c r="N1" s="38" t="s">
        <v>15</v>
      </c>
      <c r="O1" s="39" t="s">
        <v>16</v>
      </c>
      <c r="P1" s="40" t="s">
        <v>17</v>
      </c>
      <c r="Q1" s="40" t="s">
        <v>18</v>
      </c>
      <c r="R1" s="4" t="s">
        <v>19</v>
      </c>
      <c r="S1" s="12"/>
    </row>
    <row r="2" s="8" customFormat="1" spans="1:19">
      <c r="A2" s="41" t="s">
        <v>43</v>
      </c>
      <c r="B2" s="41" t="s">
        <v>44</v>
      </c>
      <c r="C2" s="42">
        <v>44901</v>
      </c>
      <c r="D2" s="43"/>
      <c r="E2" s="41" t="s">
        <v>45</v>
      </c>
      <c r="F2" s="41" t="s">
        <v>31</v>
      </c>
      <c r="G2" s="44" t="s">
        <v>25</v>
      </c>
      <c r="H2" s="44">
        <v>1</v>
      </c>
      <c r="I2" s="44">
        <v>15</v>
      </c>
      <c r="J2" s="44">
        <v>1</v>
      </c>
      <c r="K2" s="44">
        <v>15</v>
      </c>
      <c r="L2" s="42">
        <v>44901</v>
      </c>
      <c r="M2" s="45" t="s">
        <v>46</v>
      </c>
      <c r="N2" s="46">
        <v>44901</v>
      </c>
      <c r="O2" s="47" t="s">
        <v>47</v>
      </c>
      <c r="P2" s="41"/>
      <c r="Q2" s="41"/>
      <c r="R2" s="41"/>
      <c r="S2" s="47"/>
    </row>
    <row r="3" s="8" customFormat="1" spans="1:19">
      <c r="A3" s="41" t="s">
        <v>28</v>
      </c>
      <c r="B3" s="41" t="s">
        <v>29</v>
      </c>
      <c r="C3" s="42">
        <v>44902</v>
      </c>
      <c r="D3" s="43"/>
      <c r="E3" s="41"/>
      <c r="F3" s="8" t="s">
        <v>48</v>
      </c>
      <c r="G3" s="44" t="s">
        <v>49</v>
      </c>
      <c r="H3" s="44"/>
      <c r="I3" s="44">
        <v>30</v>
      </c>
      <c r="J3" s="44">
        <v>50</v>
      </c>
      <c r="K3" s="44">
        <v>1500</v>
      </c>
      <c r="L3" s="42">
        <v>44902</v>
      </c>
      <c r="M3" s="45" t="s">
        <v>50</v>
      </c>
      <c r="N3" s="46">
        <v>44929</v>
      </c>
      <c r="O3" s="47"/>
      <c r="P3" s="41"/>
      <c r="Q3" s="41"/>
      <c r="R3" s="41"/>
      <c r="S3" s="47"/>
    </row>
    <row r="4" s="8" customFormat="1" spans="1:19">
      <c r="A4" s="41" t="s">
        <v>51</v>
      </c>
      <c r="B4" s="41" t="s">
        <v>52</v>
      </c>
      <c r="C4" s="42">
        <v>44902</v>
      </c>
      <c r="D4" s="43"/>
      <c r="E4" s="41" t="s">
        <v>53</v>
      </c>
      <c r="F4" s="8" t="s">
        <v>54</v>
      </c>
      <c r="G4" s="44" t="s">
        <v>25</v>
      </c>
      <c r="H4" s="44">
        <v>1</v>
      </c>
      <c r="I4" s="44">
        <v>10</v>
      </c>
      <c r="J4" s="44">
        <v>100</v>
      </c>
      <c r="K4" s="44">
        <v>1000</v>
      </c>
      <c r="L4" s="42">
        <v>44903</v>
      </c>
      <c r="M4" s="45" t="s">
        <v>55</v>
      </c>
      <c r="N4" s="46">
        <v>44957</v>
      </c>
      <c r="O4" s="47" t="s">
        <v>56</v>
      </c>
      <c r="P4" s="41"/>
      <c r="Q4" s="41"/>
      <c r="R4" s="41"/>
      <c r="S4" s="47"/>
    </row>
    <row r="5" s="8" customFormat="1" spans="1:19">
      <c r="A5" s="41" t="s">
        <v>21</v>
      </c>
      <c r="B5" s="41" t="s">
        <v>22</v>
      </c>
      <c r="C5" s="42">
        <v>44902</v>
      </c>
      <c r="D5" s="43"/>
      <c r="E5" s="41" t="s">
        <v>57</v>
      </c>
      <c r="F5" s="8" t="s">
        <v>48</v>
      </c>
      <c r="G5" s="44" t="s">
        <v>49</v>
      </c>
      <c r="H5" s="44"/>
      <c r="I5" s="44">
        <v>36</v>
      </c>
      <c r="J5" s="44">
        <v>20</v>
      </c>
      <c r="K5" s="44">
        <v>720</v>
      </c>
      <c r="L5" s="42">
        <v>44902</v>
      </c>
      <c r="M5" s="45" t="s">
        <v>58</v>
      </c>
      <c r="N5" s="46">
        <v>45044</v>
      </c>
      <c r="O5" s="47" t="s">
        <v>59</v>
      </c>
      <c r="P5" s="41"/>
      <c r="Q5" s="41"/>
      <c r="R5" s="41"/>
      <c r="S5" s="47"/>
    </row>
    <row r="6" s="8" customFormat="1" spans="1:19">
      <c r="A6" s="41" t="s">
        <v>21</v>
      </c>
      <c r="B6" s="41" t="s">
        <v>22</v>
      </c>
      <c r="C6" s="42">
        <v>44902</v>
      </c>
      <c r="D6" s="43"/>
      <c r="E6" s="41" t="s">
        <v>60</v>
      </c>
      <c r="F6" s="8" t="s">
        <v>48</v>
      </c>
      <c r="G6" s="44" t="s">
        <v>49</v>
      </c>
      <c r="H6" s="44"/>
      <c r="I6" s="44">
        <v>36</v>
      </c>
      <c r="J6" s="44">
        <v>18</v>
      </c>
      <c r="K6" s="44">
        <v>648</v>
      </c>
      <c r="L6" s="42">
        <v>44902</v>
      </c>
      <c r="M6" s="45" t="s">
        <v>61</v>
      </c>
      <c r="N6" s="46">
        <v>45044</v>
      </c>
      <c r="O6" s="47" t="s">
        <v>62</v>
      </c>
      <c r="P6" s="41"/>
      <c r="Q6" s="41"/>
      <c r="R6" s="41"/>
      <c r="S6" s="47"/>
    </row>
    <row r="7" s="8" customFormat="1" spans="1:19">
      <c r="A7" s="41" t="s">
        <v>51</v>
      </c>
      <c r="B7" s="41" t="s">
        <v>52</v>
      </c>
      <c r="C7" s="42">
        <v>44902</v>
      </c>
      <c r="D7" s="43"/>
      <c r="E7" s="41" t="s">
        <v>63</v>
      </c>
      <c r="F7" s="8" t="s">
        <v>54</v>
      </c>
      <c r="G7" s="44" t="s">
        <v>25</v>
      </c>
      <c r="H7" s="44">
        <v>1</v>
      </c>
      <c r="I7" s="44">
        <v>6</v>
      </c>
      <c r="J7" s="44">
        <v>100</v>
      </c>
      <c r="K7" s="44">
        <v>600</v>
      </c>
      <c r="L7" s="42">
        <v>44903</v>
      </c>
      <c r="M7" s="45" t="s">
        <v>64</v>
      </c>
      <c r="N7" s="46">
        <v>44957</v>
      </c>
      <c r="O7" s="47" t="s">
        <v>65</v>
      </c>
      <c r="P7" s="41"/>
      <c r="Q7" s="41"/>
      <c r="R7" s="41"/>
      <c r="S7" s="47"/>
    </row>
    <row r="8" s="8" customFormat="1" spans="1:19">
      <c r="A8" s="41" t="s">
        <v>43</v>
      </c>
      <c r="B8" s="41" t="s">
        <v>44</v>
      </c>
      <c r="C8" s="42">
        <v>44904</v>
      </c>
      <c r="D8" s="43"/>
      <c r="E8" s="41" t="s">
        <v>66</v>
      </c>
      <c r="F8" s="8" t="s">
        <v>48</v>
      </c>
      <c r="G8" s="44" t="s">
        <v>49</v>
      </c>
      <c r="H8" s="44"/>
      <c r="I8" s="44">
        <v>45</v>
      </c>
      <c r="J8" s="44">
        <v>1</v>
      </c>
      <c r="K8" s="44">
        <v>45</v>
      </c>
      <c r="L8" s="42">
        <v>44907</v>
      </c>
      <c r="M8" s="45" t="s">
        <v>67</v>
      </c>
      <c r="N8" s="46">
        <v>44908</v>
      </c>
      <c r="O8" s="47" t="s">
        <v>68</v>
      </c>
      <c r="P8" s="41"/>
      <c r="Q8" s="41"/>
      <c r="R8" s="41"/>
      <c r="S8" s="47"/>
    </row>
    <row r="9" s="8" customFormat="1" spans="1:19">
      <c r="A9" s="41" t="s">
        <v>28</v>
      </c>
      <c r="B9" s="41" t="s">
        <v>29</v>
      </c>
      <c r="C9" s="42">
        <v>44907</v>
      </c>
      <c r="D9" s="43"/>
      <c r="E9" s="41"/>
      <c r="F9" s="8" t="s">
        <v>48</v>
      </c>
      <c r="G9" s="44" t="s">
        <v>49</v>
      </c>
      <c r="H9" s="44"/>
      <c r="I9" s="44">
        <v>30</v>
      </c>
      <c r="J9" s="44">
        <v>25</v>
      </c>
      <c r="K9" s="44">
        <v>750</v>
      </c>
      <c r="L9" s="42">
        <v>44907</v>
      </c>
      <c r="M9" s="45" t="s">
        <v>69</v>
      </c>
      <c r="N9" s="46">
        <v>44929</v>
      </c>
      <c r="O9" s="47"/>
      <c r="P9" s="41"/>
      <c r="Q9" s="41"/>
      <c r="R9" s="41"/>
      <c r="S9" s="47"/>
    </row>
    <row r="10" s="8" customFormat="1" spans="1:19">
      <c r="A10" s="41" t="s">
        <v>43</v>
      </c>
      <c r="B10" s="41" t="s">
        <v>70</v>
      </c>
      <c r="C10" s="42">
        <v>44908</v>
      </c>
      <c r="D10" s="43"/>
      <c r="E10" s="41" t="s">
        <v>71</v>
      </c>
      <c r="F10" s="8" t="s">
        <v>48</v>
      </c>
      <c r="G10" s="44" t="s">
        <v>49</v>
      </c>
      <c r="H10" s="44"/>
      <c r="I10" s="44">
        <v>45</v>
      </c>
      <c r="J10" s="44">
        <v>3</v>
      </c>
      <c r="K10" s="44">
        <v>135</v>
      </c>
      <c r="L10" s="42">
        <v>44909</v>
      </c>
      <c r="M10" s="45" t="s">
        <v>72</v>
      </c>
      <c r="N10" s="46">
        <v>44909</v>
      </c>
      <c r="O10" s="47" t="s">
        <v>73</v>
      </c>
      <c r="P10" s="41"/>
      <c r="Q10" s="41"/>
      <c r="R10" s="41"/>
      <c r="S10" s="47"/>
    </row>
    <row r="11" s="8" customFormat="1" spans="1:19">
      <c r="A11" s="41" t="s">
        <v>33</v>
      </c>
      <c r="B11" s="41" t="s">
        <v>74</v>
      </c>
      <c r="C11" s="42">
        <v>44917</v>
      </c>
      <c r="D11" s="43"/>
      <c r="E11" s="41" t="s">
        <v>75</v>
      </c>
      <c r="F11" s="8" t="s">
        <v>54</v>
      </c>
      <c r="G11" s="44" t="s">
        <v>25</v>
      </c>
      <c r="H11" s="44">
        <v>1</v>
      </c>
      <c r="I11" s="44">
        <v>6</v>
      </c>
      <c r="J11" s="44">
        <v>500</v>
      </c>
      <c r="K11" s="44">
        <v>3000</v>
      </c>
      <c r="L11" s="42">
        <v>44917</v>
      </c>
      <c r="M11" s="45" t="s">
        <v>76</v>
      </c>
      <c r="N11" s="46">
        <v>44957</v>
      </c>
      <c r="O11" s="47"/>
      <c r="P11" s="41"/>
      <c r="Q11" s="41"/>
      <c r="R11" s="41"/>
      <c r="S11" s="47"/>
    </row>
    <row r="12" s="8" customFormat="1" spans="1:19">
      <c r="A12" s="41" t="s">
        <v>51</v>
      </c>
      <c r="B12" s="41" t="s">
        <v>52</v>
      </c>
      <c r="C12" s="42">
        <v>44917</v>
      </c>
      <c r="D12" s="43"/>
      <c r="E12" s="41" t="s">
        <v>63</v>
      </c>
      <c r="F12" s="8" t="s">
        <v>54</v>
      </c>
      <c r="G12" s="44" t="s">
        <v>25</v>
      </c>
      <c r="H12" s="44">
        <v>1</v>
      </c>
      <c r="I12" s="44">
        <v>6</v>
      </c>
      <c r="J12" s="44">
        <v>100</v>
      </c>
      <c r="K12" s="44">
        <v>600</v>
      </c>
      <c r="L12" s="42">
        <v>44917</v>
      </c>
      <c r="M12" s="45" t="s">
        <v>77</v>
      </c>
      <c r="N12" s="46">
        <v>44957</v>
      </c>
      <c r="O12" s="47" t="s">
        <v>65</v>
      </c>
      <c r="P12" s="41"/>
      <c r="Q12" s="41"/>
      <c r="R12" s="41"/>
      <c r="S12" s="47"/>
    </row>
    <row r="13" s="8" customFormat="1" spans="1:19">
      <c r="A13" s="41" t="s">
        <v>43</v>
      </c>
      <c r="B13" s="41" t="s">
        <v>70</v>
      </c>
      <c r="C13" s="42">
        <v>44917</v>
      </c>
      <c r="D13" s="43"/>
      <c r="E13" s="41" t="s">
        <v>78</v>
      </c>
      <c r="F13" s="41" t="s">
        <v>31</v>
      </c>
      <c r="G13" s="44" t="s">
        <v>25</v>
      </c>
      <c r="H13" s="44">
        <v>1</v>
      </c>
      <c r="I13" s="44">
        <v>15</v>
      </c>
      <c r="J13" s="44">
        <v>1</v>
      </c>
      <c r="K13" s="44">
        <v>15</v>
      </c>
      <c r="L13" s="42">
        <v>44917</v>
      </c>
      <c r="M13" s="45" t="s">
        <v>79</v>
      </c>
      <c r="N13" s="46">
        <v>44923</v>
      </c>
      <c r="O13" s="47" t="s">
        <v>80</v>
      </c>
      <c r="P13" s="41"/>
      <c r="Q13" s="41"/>
      <c r="R13" s="41"/>
      <c r="S13" s="47"/>
    </row>
    <row r="14" s="8" customFormat="1" spans="1:19">
      <c r="A14" s="41" t="s">
        <v>81</v>
      </c>
      <c r="B14" s="41" t="s">
        <v>82</v>
      </c>
      <c r="C14" s="42">
        <v>44924</v>
      </c>
      <c r="D14" s="43"/>
      <c r="E14" s="41" t="s">
        <v>82</v>
      </c>
      <c r="F14" s="41" t="s">
        <v>31</v>
      </c>
      <c r="G14" s="44" t="s">
        <v>25</v>
      </c>
      <c r="H14" s="44">
        <v>1</v>
      </c>
      <c r="I14" s="44">
        <v>25</v>
      </c>
      <c r="J14" s="44">
        <v>16</v>
      </c>
      <c r="K14" s="44">
        <v>400</v>
      </c>
      <c r="L14" s="42">
        <v>44931</v>
      </c>
      <c r="M14" s="45" t="s">
        <v>83</v>
      </c>
      <c r="N14" s="46">
        <v>44942</v>
      </c>
      <c r="O14" s="47"/>
      <c r="P14" s="41"/>
      <c r="Q14" s="41"/>
      <c r="R14" s="41"/>
      <c r="S14" s="47"/>
    </row>
    <row r="15" s="8" customFormat="1" spans="1:19">
      <c r="A15" s="41" t="s">
        <v>84</v>
      </c>
      <c r="B15" s="41" t="s">
        <v>85</v>
      </c>
      <c r="C15" s="42">
        <v>44924</v>
      </c>
      <c r="D15" s="43"/>
      <c r="E15" s="41" t="s">
        <v>86</v>
      </c>
      <c r="F15" s="8" t="s">
        <v>87</v>
      </c>
      <c r="G15" s="44" t="s">
        <v>25</v>
      </c>
      <c r="H15" s="44">
        <v>3</v>
      </c>
      <c r="I15" s="44">
        <v>60</v>
      </c>
      <c r="J15" s="44">
        <v>6</v>
      </c>
      <c r="K15" s="44">
        <v>360</v>
      </c>
      <c r="L15" s="42">
        <v>44925</v>
      </c>
      <c r="M15" s="45" t="s">
        <v>88</v>
      </c>
      <c r="N15" s="46">
        <v>44957</v>
      </c>
      <c r="O15" s="47"/>
      <c r="P15" s="41"/>
      <c r="Q15" s="41"/>
      <c r="R15" s="41"/>
      <c r="S15" s="47"/>
    </row>
    <row r="16" s="8" customFormat="1" spans="1:19">
      <c r="A16" s="41" t="s">
        <v>28</v>
      </c>
      <c r="B16" s="41" t="s">
        <v>29</v>
      </c>
      <c r="C16" s="42">
        <v>44925</v>
      </c>
      <c r="D16" s="43"/>
      <c r="E16" s="41"/>
      <c r="F16" s="41" t="s">
        <v>89</v>
      </c>
      <c r="G16" s="44" t="s">
        <v>25</v>
      </c>
      <c r="H16" s="44">
        <v>3</v>
      </c>
      <c r="I16" s="44">
        <v>30</v>
      </c>
      <c r="J16" s="44">
        <v>1</v>
      </c>
      <c r="K16" s="44">
        <v>30</v>
      </c>
      <c r="L16" s="42">
        <v>44925</v>
      </c>
      <c r="M16" s="45" t="s">
        <v>90</v>
      </c>
      <c r="N16" s="46">
        <v>44929</v>
      </c>
      <c r="O16" s="47" t="s">
        <v>91</v>
      </c>
      <c r="P16" s="41"/>
      <c r="Q16" s="41"/>
      <c r="R16" s="41"/>
      <c r="S16" s="47"/>
    </row>
    <row r="17" s="8" customFormat="1" spans="1:19">
      <c r="A17" s="8" t="s">
        <v>21</v>
      </c>
      <c r="B17" s="8" t="s">
        <v>22</v>
      </c>
      <c r="C17" s="6">
        <v>44931</v>
      </c>
      <c r="D17" s="48"/>
      <c r="E17" s="8" t="s">
        <v>92</v>
      </c>
      <c r="F17" s="8" t="s">
        <v>54</v>
      </c>
      <c r="G17" s="9" t="s">
        <v>25</v>
      </c>
      <c r="H17" s="44">
        <v>1</v>
      </c>
      <c r="I17" s="9">
        <v>25</v>
      </c>
      <c r="J17" s="9">
        <v>3</v>
      </c>
      <c r="K17" s="9">
        <v>75</v>
      </c>
      <c r="L17" s="6">
        <v>44931</v>
      </c>
      <c r="M17" s="49" t="s">
        <v>93</v>
      </c>
      <c r="N17" s="46">
        <v>45044</v>
      </c>
      <c r="O17" s="12" t="s">
        <v>94</v>
      </c>
      <c r="Q17" s="50"/>
      <c r="R17" s="50" t="s">
        <v>95</v>
      </c>
      <c r="S17" s="12"/>
    </row>
    <row r="18" s="8" customFormat="1" spans="1:19">
      <c r="A18" s="8" t="s">
        <v>43</v>
      </c>
      <c r="B18" s="41" t="s">
        <v>70</v>
      </c>
      <c r="C18" s="6">
        <v>44942</v>
      </c>
      <c r="D18" s="48"/>
      <c r="E18" s="8" t="s">
        <v>96</v>
      </c>
      <c r="F18" s="8" t="s">
        <v>48</v>
      </c>
      <c r="G18" s="9" t="s">
        <v>49</v>
      </c>
      <c r="H18" s="44"/>
      <c r="I18" s="9">
        <v>45</v>
      </c>
      <c r="J18" s="9">
        <v>2</v>
      </c>
      <c r="K18" s="9">
        <v>90</v>
      </c>
      <c r="L18" s="6">
        <v>44942</v>
      </c>
      <c r="M18" s="49" t="s">
        <v>97</v>
      </c>
      <c r="N18" s="20">
        <v>44945</v>
      </c>
      <c r="O18" s="12"/>
      <c r="Q18" s="50"/>
      <c r="R18" s="50" t="s">
        <v>95</v>
      </c>
      <c r="S18" s="12"/>
    </row>
    <row r="19" s="8" customFormat="1" spans="1:19">
      <c r="A19" s="8" t="s">
        <v>21</v>
      </c>
      <c r="B19" s="8" t="s">
        <v>22</v>
      </c>
      <c r="C19" s="6">
        <v>44942</v>
      </c>
      <c r="D19" s="48"/>
      <c r="E19" s="8" t="s">
        <v>98</v>
      </c>
      <c r="F19" s="8" t="s">
        <v>54</v>
      </c>
      <c r="G19" s="9" t="s">
        <v>25</v>
      </c>
      <c r="H19" s="44">
        <v>1</v>
      </c>
      <c r="I19" s="9">
        <v>25</v>
      </c>
      <c r="J19" s="9">
        <v>1</v>
      </c>
      <c r="K19" s="9">
        <v>25</v>
      </c>
      <c r="L19" s="6">
        <v>44942</v>
      </c>
      <c r="M19" s="49" t="s">
        <v>99</v>
      </c>
      <c r="N19" s="46">
        <v>45044</v>
      </c>
      <c r="O19" s="12"/>
      <c r="Q19" s="50"/>
      <c r="R19" s="50" t="s">
        <v>95</v>
      </c>
      <c r="S19" s="12"/>
    </row>
    <row r="20" s="8" customFormat="1" spans="1:19">
      <c r="A20" s="8" t="s">
        <v>33</v>
      </c>
      <c r="B20" s="8" t="s">
        <v>100</v>
      </c>
      <c r="C20" s="6">
        <v>44952</v>
      </c>
      <c r="D20" s="48"/>
      <c r="E20" s="8" t="s">
        <v>101</v>
      </c>
      <c r="F20" s="8" t="s">
        <v>48</v>
      </c>
      <c r="G20" s="9" t="s">
        <v>49</v>
      </c>
      <c r="H20" s="44"/>
      <c r="I20" s="9">
        <v>45</v>
      </c>
      <c r="J20" s="9">
        <v>5</v>
      </c>
      <c r="K20" s="9">
        <v>225</v>
      </c>
      <c r="L20" s="6">
        <v>44955</v>
      </c>
      <c r="M20" s="49" t="s">
        <v>102</v>
      </c>
      <c r="N20" s="20">
        <v>44985</v>
      </c>
      <c r="O20" s="12" t="s">
        <v>103</v>
      </c>
      <c r="Q20" s="50"/>
      <c r="R20" s="50" t="s">
        <v>95</v>
      </c>
      <c r="S20" s="12"/>
    </row>
    <row r="21" s="8" customFormat="1" spans="1:19">
      <c r="A21" s="8" t="s">
        <v>33</v>
      </c>
      <c r="B21" s="8" t="s">
        <v>104</v>
      </c>
      <c r="C21" s="6">
        <v>44956</v>
      </c>
      <c r="D21" s="48"/>
      <c r="E21" s="8" t="s">
        <v>105</v>
      </c>
      <c r="F21" s="8" t="s">
        <v>54</v>
      </c>
      <c r="G21" s="9" t="s">
        <v>25</v>
      </c>
      <c r="H21" s="44">
        <v>1</v>
      </c>
      <c r="I21" s="9">
        <v>25</v>
      </c>
      <c r="J21" s="9">
        <v>2</v>
      </c>
      <c r="K21" s="9">
        <v>50</v>
      </c>
      <c r="L21" s="6">
        <v>44957</v>
      </c>
      <c r="M21" s="49" t="s">
        <v>106</v>
      </c>
      <c r="N21" s="20">
        <v>0</v>
      </c>
      <c r="O21" s="12" t="s">
        <v>107</v>
      </c>
      <c r="Q21" s="50"/>
      <c r="R21" s="50" t="s">
        <v>95</v>
      </c>
      <c r="S21" s="12"/>
    </row>
    <row r="22" s="8" customFormat="1" spans="1:19">
      <c r="A22" s="8" t="s">
        <v>84</v>
      </c>
      <c r="B22" s="8" t="s">
        <v>108</v>
      </c>
      <c r="C22" s="6">
        <v>44957</v>
      </c>
      <c r="D22" s="48"/>
      <c r="E22" s="8" t="s">
        <v>109</v>
      </c>
      <c r="F22" s="8" t="s">
        <v>110</v>
      </c>
      <c r="G22" s="9" t="s">
        <v>25</v>
      </c>
      <c r="H22" s="44">
        <v>1</v>
      </c>
      <c r="I22" s="9">
        <v>48</v>
      </c>
      <c r="J22" s="9">
        <v>55</v>
      </c>
      <c r="K22" s="9">
        <v>2640</v>
      </c>
      <c r="L22" s="6">
        <v>44957</v>
      </c>
      <c r="M22" s="49" t="s">
        <v>111</v>
      </c>
      <c r="N22" s="20">
        <v>44988</v>
      </c>
      <c r="O22" s="12"/>
      <c r="Q22" s="50"/>
      <c r="R22" s="50" t="s">
        <v>95</v>
      </c>
      <c r="S22" s="12"/>
    </row>
    <row r="23" s="8" customFormat="1" spans="1:19">
      <c r="A23" s="8" t="s">
        <v>33</v>
      </c>
      <c r="B23" s="8" t="s">
        <v>100</v>
      </c>
      <c r="C23" s="6">
        <v>44959</v>
      </c>
      <c r="D23" s="48"/>
      <c r="E23" s="8" t="s">
        <v>112</v>
      </c>
      <c r="F23" s="8" t="s">
        <v>54</v>
      </c>
      <c r="G23" s="9" t="s">
        <v>25</v>
      </c>
      <c r="H23" s="44">
        <v>1</v>
      </c>
      <c r="I23" s="9">
        <v>15</v>
      </c>
      <c r="J23" s="9">
        <v>30</v>
      </c>
      <c r="K23" s="9">
        <v>450</v>
      </c>
      <c r="L23" s="6">
        <v>44966</v>
      </c>
      <c r="M23" s="49" t="s">
        <v>113</v>
      </c>
      <c r="N23" s="20">
        <v>0</v>
      </c>
      <c r="O23" s="12" t="s">
        <v>114</v>
      </c>
      <c r="Q23" s="50"/>
      <c r="R23" s="50" t="s">
        <v>95</v>
      </c>
      <c r="S23" s="12"/>
    </row>
    <row r="24" s="8" customFormat="1" spans="1:19">
      <c r="A24" s="8" t="s">
        <v>33</v>
      </c>
      <c r="B24" s="8" t="s">
        <v>100</v>
      </c>
      <c r="C24" s="6">
        <v>44959</v>
      </c>
      <c r="D24" s="48"/>
      <c r="E24" s="8" t="s">
        <v>115</v>
      </c>
      <c r="F24" s="8" t="s">
        <v>48</v>
      </c>
      <c r="G24" s="9" t="s">
        <v>49</v>
      </c>
      <c r="H24" s="44"/>
      <c r="I24" s="9">
        <v>45</v>
      </c>
      <c r="J24" s="9">
        <v>5</v>
      </c>
      <c r="K24" s="9">
        <v>225</v>
      </c>
      <c r="L24" s="6">
        <v>44966</v>
      </c>
      <c r="M24" s="49" t="s">
        <v>116</v>
      </c>
      <c r="N24" s="20">
        <v>0</v>
      </c>
      <c r="O24" s="12" t="s">
        <v>117</v>
      </c>
      <c r="Q24" s="50"/>
      <c r="R24" s="50" t="s">
        <v>95</v>
      </c>
      <c r="S24" s="12"/>
    </row>
    <row r="25" s="8" customFormat="1" spans="1:19">
      <c r="A25" s="8" t="s">
        <v>51</v>
      </c>
      <c r="B25" s="8" t="s">
        <v>118</v>
      </c>
      <c r="C25" s="6">
        <v>44960</v>
      </c>
      <c r="D25" s="48"/>
      <c r="E25" s="8" t="s">
        <v>119</v>
      </c>
      <c r="F25" s="41" t="s">
        <v>31</v>
      </c>
      <c r="G25" s="9" t="s">
        <v>25</v>
      </c>
      <c r="H25" s="44">
        <v>1</v>
      </c>
      <c r="I25" s="9">
        <v>12</v>
      </c>
      <c r="J25" s="9">
        <v>320</v>
      </c>
      <c r="K25" s="9">
        <v>3840</v>
      </c>
      <c r="L25" s="6">
        <v>44960</v>
      </c>
      <c r="M25" s="49" t="s">
        <v>120</v>
      </c>
      <c r="N25" s="20">
        <v>44991</v>
      </c>
      <c r="O25" s="12" t="s">
        <v>121</v>
      </c>
      <c r="Q25" s="50"/>
      <c r="R25" s="50" t="s">
        <v>122</v>
      </c>
      <c r="S25" s="12"/>
    </row>
    <row r="26" s="8" customFormat="1" spans="1:19">
      <c r="A26" s="8" t="s">
        <v>33</v>
      </c>
      <c r="B26" s="8" t="s">
        <v>34</v>
      </c>
      <c r="C26" s="6">
        <v>44960</v>
      </c>
      <c r="D26" s="48"/>
      <c r="E26" s="8" t="s">
        <v>123</v>
      </c>
      <c r="F26" s="8" t="s">
        <v>54</v>
      </c>
      <c r="G26" s="9" t="s">
        <v>25</v>
      </c>
      <c r="H26" s="44">
        <v>1</v>
      </c>
      <c r="I26" s="9">
        <v>10</v>
      </c>
      <c r="J26" s="9">
        <v>50</v>
      </c>
      <c r="K26" s="9">
        <v>500</v>
      </c>
      <c r="L26" s="6">
        <v>44963</v>
      </c>
      <c r="M26" s="49" t="s">
        <v>124</v>
      </c>
      <c r="N26" s="20">
        <v>0</v>
      </c>
      <c r="O26" s="12" t="s">
        <v>125</v>
      </c>
      <c r="Q26" s="50"/>
      <c r="R26" s="50" t="s">
        <v>95</v>
      </c>
      <c r="S26" s="12"/>
    </row>
    <row r="27" s="8" customFormat="1" spans="1:19">
      <c r="A27" s="8" t="s">
        <v>33</v>
      </c>
      <c r="B27" s="8" t="s">
        <v>34</v>
      </c>
      <c r="C27" s="6">
        <v>44960</v>
      </c>
      <c r="D27" s="48"/>
      <c r="E27" s="8" t="s">
        <v>126</v>
      </c>
      <c r="F27" s="8" t="s">
        <v>54</v>
      </c>
      <c r="G27" s="9" t="s">
        <v>25</v>
      </c>
      <c r="H27" s="44">
        <v>1</v>
      </c>
      <c r="I27" s="9">
        <v>10</v>
      </c>
      <c r="J27" s="9">
        <v>50</v>
      </c>
      <c r="K27" s="9">
        <v>500</v>
      </c>
      <c r="L27" s="6">
        <v>44963</v>
      </c>
      <c r="M27" s="49" t="s">
        <v>127</v>
      </c>
      <c r="N27" s="20">
        <v>0</v>
      </c>
      <c r="O27" s="12" t="s">
        <v>128</v>
      </c>
      <c r="Q27" s="50"/>
      <c r="R27" s="50" t="s">
        <v>95</v>
      </c>
      <c r="S27" s="51" t="s">
        <v>129</v>
      </c>
    </row>
    <row r="28" s="8" customFormat="1" spans="1:19">
      <c r="A28" s="8" t="s">
        <v>33</v>
      </c>
      <c r="B28" s="8" t="s">
        <v>100</v>
      </c>
      <c r="C28" s="6">
        <v>44963</v>
      </c>
      <c r="D28" s="48"/>
      <c r="E28" s="8" t="s">
        <v>130</v>
      </c>
      <c r="F28" s="8" t="s">
        <v>54</v>
      </c>
      <c r="G28" s="9" t="s">
        <v>25</v>
      </c>
      <c r="H28" s="44">
        <v>1</v>
      </c>
      <c r="I28" s="9">
        <v>15</v>
      </c>
      <c r="J28" s="9">
        <v>30</v>
      </c>
      <c r="K28" s="9">
        <v>450</v>
      </c>
      <c r="L28" s="6">
        <v>44966</v>
      </c>
      <c r="M28" s="49" t="s">
        <v>131</v>
      </c>
      <c r="N28" s="20">
        <v>0</v>
      </c>
      <c r="O28" s="12" t="s">
        <v>132</v>
      </c>
      <c r="Q28" s="50"/>
      <c r="R28" s="50" t="s">
        <v>95</v>
      </c>
      <c r="S28" s="12"/>
    </row>
    <row r="29" s="8" customFormat="1" spans="1:19">
      <c r="A29" s="8" t="s">
        <v>43</v>
      </c>
      <c r="B29" s="8" t="s">
        <v>44</v>
      </c>
      <c r="C29" s="6">
        <v>44963</v>
      </c>
      <c r="D29" s="48"/>
      <c r="E29" s="8" t="s">
        <v>133</v>
      </c>
      <c r="F29" s="8" t="s">
        <v>48</v>
      </c>
      <c r="G29" s="9" t="s">
        <v>49</v>
      </c>
      <c r="H29" s="44"/>
      <c r="I29" s="9">
        <v>45</v>
      </c>
      <c r="J29" s="9">
        <v>1</v>
      </c>
      <c r="K29" s="9">
        <v>45</v>
      </c>
      <c r="L29" s="6">
        <v>44964</v>
      </c>
      <c r="M29" s="49" t="s">
        <v>134</v>
      </c>
      <c r="N29" s="20">
        <v>44965</v>
      </c>
      <c r="O29" s="12" t="s">
        <v>135</v>
      </c>
      <c r="Q29" s="50"/>
      <c r="R29" s="50" t="s">
        <v>95</v>
      </c>
      <c r="S29" s="12"/>
    </row>
    <row r="30" s="8" customFormat="1" spans="1:19">
      <c r="A30" s="8" t="s">
        <v>33</v>
      </c>
      <c r="B30" s="8" t="s">
        <v>100</v>
      </c>
      <c r="C30" s="6">
        <v>44966</v>
      </c>
      <c r="D30" s="48"/>
      <c r="E30" s="8" t="s">
        <v>136</v>
      </c>
      <c r="F30" s="8" t="s">
        <v>54</v>
      </c>
      <c r="G30" s="9" t="s">
        <v>25</v>
      </c>
      <c r="H30" s="44">
        <v>1</v>
      </c>
      <c r="I30" s="9">
        <v>15</v>
      </c>
      <c r="J30" s="9">
        <v>20</v>
      </c>
      <c r="K30" s="9">
        <v>300</v>
      </c>
      <c r="L30" s="6">
        <v>44967</v>
      </c>
      <c r="M30" s="49" t="s">
        <v>137</v>
      </c>
      <c r="N30" s="20">
        <v>0</v>
      </c>
      <c r="O30" s="12" t="s">
        <v>138</v>
      </c>
      <c r="Q30" s="50"/>
      <c r="R30" s="50" t="s">
        <v>95</v>
      </c>
      <c r="S30" s="12"/>
    </row>
    <row r="31" s="8" customFormat="1" spans="1:19">
      <c r="A31" s="8" t="s">
        <v>139</v>
      </c>
      <c r="B31" s="8" t="s">
        <v>140</v>
      </c>
      <c r="C31" s="6">
        <v>44969</v>
      </c>
      <c r="D31" s="52"/>
      <c r="E31" s="8" t="s">
        <v>141</v>
      </c>
      <c r="F31" s="41" t="s">
        <v>31</v>
      </c>
      <c r="G31" s="9" t="s">
        <v>25</v>
      </c>
      <c r="H31" s="44">
        <v>1</v>
      </c>
      <c r="I31" s="9">
        <v>30</v>
      </c>
      <c r="J31" s="9">
        <v>15</v>
      </c>
      <c r="K31" s="9">
        <v>450</v>
      </c>
      <c r="L31" s="6">
        <v>44973</v>
      </c>
      <c r="M31" s="49" t="s">
        <v>142</v>
      </c>
      <c r="N31" s="20">
        <v>44985</v>
      </c>
      <c r="O31" s="12" t="s">
        <v>143</v>
      </c>
      <c r="Q31" s="50"/>
      <c r="R31" s="50" t="s">
        <v>122</v>
      </c>
      <c r="S31" s="12"/>
    </row>
    <row r="32" s="8" customFormat="1" ht="31" spans="1:19">
      <c r="A32" s="8" t="s">
        <v>33</v>
      </c>
      <c r="B32" s="8" t="s">
        <v>100</v>
      </c>
      <c r="C32" s="6">
        <v>44970</v>
      </c>
      <c r="D32" s="48"/>
      <c r="E32" s="8" t="s">
        <v>144</v>
      </c>
      <c r="F32" s="8" t="s">
        <v>24</v>
      </c>
      <c r="G32" s="9" t="s">
        <v>25</v>
      </c>
      <c r="H32" s="44">
        <v>3</v>
      </c>
      <c r="I32" s="9">
        <v>15</v>
      </c>
      <c r="J32" s="9">
        <v>105</v>
      </c>
      <c r="K32" s="9">
        <v>1575</v>
      </c>
      <c r="L32" s="6">
        <v>44977</v>
      </c>
      <c r="M32" s="49" t="s">
        <v>145</v>
      </c>
      <c r="N32" s="20">
        <v>0</v>
      </c>
      <c r="O32" s="53" t="s">
        <v>146</v>
      </c>
      <c r="P32" s="54"/>
      <c r="Q32" s="50"/>
      <c r="R32" s="50" t="s">
        <v>95</v>
      </c>
      <c r="S32" s="12"/>
    </row>
    <row r="33" s="8" customFormat="1" spans="1:19">
      <c r="A33" s="8" t="s">
        <v>28</v>
      </c>
      <c r="B33" s="8" t="s">
        <v>29</v>
      </c>
      <c r="C33" s="6">
        <v>44972</v>
      </c>
      <c r="D33" s="48"/>
      <c r="F33" s="8" t="s">
        <v>48</v>
      </c>
      <c r="G33" s="9" t="s">
        <v>49</v>
      </c>
      <c r="H33" s="44"/>
      <c r="I33" s="9">
        <v>30</v>
      </c>
      <c r="J33" s="9">
        <v>150</v>
      </c>
      <c r="K33" s="9">
        <v>4500</v>
      </c>
      <c r="L33" s="6">
        <v>44972</v>
      </c>
      <c r="M33" s="49" t="s">
        <v>147</v>
      </c>
      <c r="N33" s="20">
        <v>45085</v>
      </c>
      <c r="O33" s="12" t="s">
        <v>148</v>
      </c>
      <c r="Q33" s="50"/>
      <c r="R33" s="50" t="s">
        <v>122</v>
      </c>
      <c r="S33" s="12"/>
    </row>
    <row r="34" s="8" customFormat="1" ht="15.5" spans="1:19">
      <c r="A34" s="8" t="s">
        <v>28</v>
      </c>
      <c r="B34" s="8" t="s">
        <v>29</v>
      </c>
      <c r="C34" s="6">
        <v>44972</v>
      </c>
      <c r="D34" s="48"/>
      <c r="E34" s="8" t="s">
        <v>149</v>
      </c>
      <c r="F34" s="41" t="s">
        <v>31</v>
      </c>
      <c r="G34" s="9" t="s">
        <v>25</v>
      </c>
      <c r="H34" s="44">
        <v>1</v>
      </c>
      <c r="I34" s="9">
        <v>16</v>
      </c>
      <c r="J34" s="9">
        <v>50</v>
      </c>
      <c r="K34" s="9">
        <f>I34*J34</f>
        <v>800</v>
      </c>
      <c r="L34" s="6">
        <v>44977</v>
      </c>
      <c r="M34" s="49" t="s">
        <v>150</v>
      </c>
      <c r="N34" s="20">
        <v>45085</v>
      </c>
      <c r="O34" s="55"/>
      <c r="P34" s="56"/>
      <c r="Q34" s="50"/>
      <c r="R34" s="50" t="s">
        <v>122</v>
      </c>
      <c r="S34" s="12"/>
    </row>
    <row r="35" s="8" customFormat="1" spans="1:19">
      <c r="A35" s="8" t="s">
        <v>43</v>
      </c>
      <c r="B35" s="41" t="s">
        <v>70</v>
      </c>
      <c r="C35" s="6">
        <v>44973</v>
      </c>
      <c r="D35" s="48"/>
      <c r="E35" s="8" t="s">
        <v>151</v>
      </c>
      <c r="F35" s="8" t="s">
        <v>54</v>
      </c>
      <c r="G35" s="9" t="s">
        <v>25</v>
      </c>
      <c r="H35" s="44">
        <v>1</v>
      </c>
      <c r="I35" s="9">
        <v>25</v>
      </c>
      <c r="J35" s="9">
        <v>1</v>
      </c>
      <c r="K35" s="9">
        <v>25</v>
      </c>
      <c r="L35" s="6">
        <v>44967</v>
      </c>
      <c r="M35" s="49" t="s">
        <v>152</v>
      </c>
      <c r="N35" s="20">
        <v>44973</v>
      </c>
      <c r="O35" s="12" t="s">
        <v>153</v>
      </c>
      <c r="Q35" s="50"/>
      <c r="R35" s="50" t="s">
        <v>95</v>
      </c>
      <c r="S35" s="12"/>
    </row>
    <row r="36" s="8" customFormat="1" spans="1:19">
      <c r="A36" s="8" t="s">
        <v>33</v>
      </c>
      <c r="B36" s="8" t="s">
        <v>100</v>
      </c>
      <c r="C36" s="6">
        <v>44974</v>
      </c>
      <c r="D36" s="48"/>
      <c r="E36" s="8" t="s">
        <v>154</v>
      </c>
      <c r="F36" s="8" t="s">
        <v>155</v>
      </c>
      <c r="G36" s="9" t="s">
        <v>25</v>
      </c>
      <c r="H36" s="44">
        <v>5</v>
      </c>
      <c r="I36" s="9">
        <v>60</v>
      </c>
      <c r="J36" s="9">
        <v>704</v>
      </c>
      <c r="K36" s="9">
        <v>42240</v>
      </c>
      <c r="L36" s="6">
        <v>44977</v>
      </c>
      <c r="M36" s="49" t="s">
        <v>156</v>
      </c>
      <c r="N36" s="20">
        <v>0</v>
      </c>
      <c r="O36" s="12" t="s">
        <v>157</v>
      </c>
      <c r="Q36" s="50"/>
      <c r="R36" s="50" t="s">
        <v>95</v>
      </c>
      <c r="S36" s="12"/>
    </row>
    <row r="37" s="8" customFormat="1" ht="15.5" spans="1:19">
      <c r="A37" s="8" t="s">
        <v>84</v>
      </c>
      <c r="B37" s="8" t="s">
        <v>108</v>
      </c>
      <c r="C37" s="6">
        <v>44979</v>
      </c>
      <c r="D37" s="48"/>
      <c r="E37" s="8" t="s">
        <v>158</v>
      </c>
      <c r="F37" s="8" t="s">
        <v>110</v>
      </c>
      <c r="G37" s="9" t="s">
        <v>25</v>
      </c>
      <c r="H37" s="44">
        <v>1</v>
      </c>
      <c r="I37" s="9">
        <v>48</v>
      </c>
      <c r="J37" s="9">
        <v>23</v>
      </c>
      <c r="K37" s="9">
        <v>1104</v>
      </c>
      <c r="L37" s="6">
        <v>44979</v>
      </c>
      <c r="M37" s="49" t="s">
        <v>159</v>
      </c>
      <c r="N37" s="20">
        <v>0</v>
      </c>
      <c r="O37" s="53"/>
      <c r="P37" s="54"/>
      <c r="Q37" s="50"/>
      <c r="R37" s="50" t="s">
        <v>95</v>
      </c>
      <c r="S37" s="12"/>
    </row>
    <row r="38" s="8" customFormat="1" spans="1:19">
      <c r="A38" s="8" t="s">
        <v>21</v>
      </c>
      <c r="B38" s="8" t="s">
        <v>22</v>
      </c>
      <c r="C38" s="6">
        <v>44986</v>
      </c>
      <c r="D38" s="48"/>
      <c r="E38" s="8" t="s">
        <v>160</v>
      </c>
      <c r="F38" s="8" t="s">
        <v>87</v>
      </c>
      <c r="G38" s="9" t="s">
        <v>25</v>
      </c>
      <c r="H38" s="44">
        <v>3</v>
      </c>
      <c r="I38" s="9">
        <v>44</v>
      </c>
      <c r="J38" s="9">
        <v>10</v>
      </c>
      <c r="K38" s="9">
        <v>440</v>
      </c>
      <c r="L38" s="6">
        <v>44988</v>
      </c>
      <c r="M38" s="49" t="s">
        <v>161</v>
      </c>
      <c r="N38" s="20">
        <v>0</v>
      </c>
      <c r="O38" s="12"/>
      <c r="Q38" s="50"/>
      <c r="R38" s="50" t="s">
        <v>95</v>
      </c>
      <c r="S38" s="12"/>
    </row>
    <row r="39" s="8" customFormat="1" spans="1:19">
      <c r="A39" s="8" t="s">
        <v>43</v>
      </c>
      <c r="B39" s="8" t="s">
        <v>44</v>
      </c>
      <c r="C39" s="6">
        <v>44998</v>
      </c>
      <c r="D39" s="48"/>
      <c r="E39" s="8" t="s">
        <v>162</v>
      </c>
      <c r="F39" s="8" t="s">
        <v>163</v>
      </c>
      <c r="G39" s="9" t="s">
        <v>25</v>
      </c>
      <c r="H39" s="44">
        <v>1</v>
      </c>
      <c r="I39" s="9">
        <v>16</v>
      </c>
      <c r="J39" s="9">
        <v>10</v>
      </c>
      <c r="K39" s="9">
        <v>160</v>
      </c>
      <c r="L39" s="6">
        <v>45035</v>
      </c>
      <c r="M39" s="12" t="s">
        <v>164</v>
      </c>
      <c r="N39" s="20">
        <v>45050</v>
      </c>
      <c r="O39" s="57" t="s">
        <v>165</v>
      </c>
      <c r="P39" s="58"/>
      <c r="Q39" s="50"/>
      <c r="R39" s="50" t="s">
        <v>122</v>
      </c>
      <c r="S39" s="12"/>
    </row>
    <row r="40" s="8" customFormat="1" spans="1:19">
      <c r="A40" s="8" t="s">
        <v>43</v>
      </c>
      <c r="B40" s="8" t="s">
        <v>44</v>
      </c>
      <c r="C40" s="6">
        <v>44998</v>
      </c>
      <c r="D40" s="49" t="s">
        <v>166</v>
      </c>
      <c r="E40" s="8" t="s">
        <v>162</v>
      </c>
      <c r="F40" s="8" t="s">
        <v>54</v>
      </c>
      <c r="G40" s="9" t="s">
        <v>25</v>
      </c>
      <c r="H40" s="44">
        <v>1</v>
      </c>
      <c r="I40" s="9">
        <v>22</v>
      </c>
      <c r="J40" s="9">
        <v>5</v>
      </c>
      <c r="K40" s="9">
        <v>110</v>
      </c>
      <c r="L40" s="6">
        <v>44999</v>
      </c>
      <c r="M40" s="59" t="s">
        <v>167</v>
      </c>
      <c r="N40" s="20">
        <v>44999</v>
      </c>
      <c r="O40" s="12" t="s">
        <v>168</v>
      </c>
      <c r="Q40" s="50"/>
      <c r="R40" s="50" t="s">
        <v>95</v>
      </c>
      <c r="S40" s="12"/>
    </row>
    <row r="41" s="8" customFormat="1" spans="1:19">
      <c r="A41" s="8" t="s">
        <v>33</v>
      </c>
      <c r="B41" s="8" t="s">
        <v>100</v>
      </c>
      <c r="C41" s="6">
        <v>45001</v>
      </c>
      <c r="D41" s="48"/>
      <c r="E41" s="8" t="s">
        <v>136</v>
      </c>
      <c r="F41" s="8" t="s">
        <v>54</v>
      </c>
      <c r="G41" s="9" t="s">
        <v>25</v>
      </c>
      <c r="H41" s="44">
        <v>1</v>
      </c>
      <c r="I41" s="9">
        <v>20</v>
      </c>
      <c r="J41" s="9">
        <v>15</v>
      </c>
      <c r="K41" s="9">
        <v>300</v>
      </c>
      <c r="L41" s="6">
        <v>45001</v>
      </c>
      <c r="M41" s="60" t="s">
        <v>169</v>
      </c>
      <c r="N41" s="20">
        <v>45044</v>
      </c>
      <c r="O41" s="12" t="s">
        <v>170</v>
      </c>
      <c r="Q41" s="50"/>
      <c r="R41" s="50" t="s">
        <v>95</v>
      </c>
      <c r="S41" s="12"/>
    </row>
    <row r="42" s="8" customFormat="1" spans="1:19">
      <c r="A42" s="8" t="s">
        <v>33</v>
      </c>
      <c r="B42" s="8" t="s">
        <v>100</v>
      </c>
      <c r="C42" s="6">
        <v>45001</v>
      </c>
      <c r="D42" s="48"/>
      <c r="E42" s="8" t="s">
        <v>136</v>
      </c>
      <c r="F42" s="8" t="s">
        <v>54</v>
      </c>
      <c r="G42" s="9" t="s">
        <v>25</v>
      </c>
      <c r="H42" s="44">
        <v>1</v>
      </c>
      <c r="I42" s="9">
        <v>20</v>
      </c>
      <c r="J42" s="9">
        <v>15</v>
      </c>
      <c r="K42" s="9">
        <v>300</v>
      </c>
      <c r="L42" s="6">
        <v>45001</v>
      </c>
      <c r="M42" s="60" t="s">
        <v>171</v>
      </c>
      <c r="N42" s="20">
        <v>45044</v>
      </c>
      <c r="O42" s="12" t="s">
        <v>172</v>
      </c>
      <c r="Q42" s="50"/>
      <c r="R42" s="50" t="s">
        <v>95</v>
      </c>
      <c r="S42" s="12"/>
    </row>
    <row r="43" s="8" customFormat="1" spans="1:19">
      <c r="A43" s="8" t="s">
        <v>33</v>
      </c>
      <c r="B43" s="8" t="s">
        <v>100</v>
      </c>
      <c r="C43" s="6">
        <v>45002</v>
      </c>
      <c r="D43" s="48"/>
      <c r="E43" s="8" t="s">
        <v>136</v>
      </c>
      <c r="F43" s="8" t="s">
        <v>54</v>
      </c>
      <c r="G43" s="9" t="s">
        <v>25</v>
      </c>
      <c r="H43" s="44">
        <v>1</v>
      </c>
      <c r="I43" s="9">
        <v>20</v>
      </c>
      <c r="J43" s="9">
        <v>15</v>
      </c>
      <c r="K43" s="9">
        <v>300</v>
      </c>
      <c r="L43" s="6">
        <v>45009</v>
      </c>
      <c r="M43" s="60" t="s">
        <v>173</v>
      </c>
      <c r="N43" s="20">
        <v>45044</v>
      </c>
      <c r="O43" s="12" t="s">
        <v>174</v>
      </c>
      <c r="Q43" s="50"/>
      <c r="R43" s="50" t="s">
        <v>95</v>
      </c>
      <c r="S43" s="12"/>
    </row>
    <row r="44" s="8" customFormat="1" spans="1:19">
      <c r="A44" s="8" t="s">
        <v>175</v>
      </c>
      <c r="B44" s="8" t="s">
        <v>176</v>
      </c>
      <c r="C44" s="6">
        <v>45012</v>
      </c>
      <c r="D44" s="48"/>
      <c r="E44" s="8" t="s">
        <v>177</v>
      </c>
      <c r="F44" s="8" t="s">
        <v>54</v>
      </c>
      <c r="G44" s="9" t="s">
        <v>25</v>
      </c>
      <c r="H44" s="44">
        <v>1</v>
      </c>
      <c r="I44" s="9">
        <v>39</v>
      </c>
      <c r="J44" s="9">
        <v>7</v>
      </c>
      <c r="K44" s="9">
        <f t="shared" ref="K44:K49" si="0">I44*J44</f>
        <v>273</v>
      </c>
      <c r="L44" s="6">
        <v>45012</v>
      </c>
      <c r="M44" s="61" t="s">
        <v>167</v>
      </c>
      <c r="N44" s="20">
        <v>45015</v>
      </c>
      <c r="O44" s="12"/>
      <c r="Q44" s="50"/>
      <c r="R44" s="50" t="s">
        <v>122</v>
      </c>
      <c r="S44" s="12"/>
    </row>
    <row r="45" s="8" customFormat="1" spans="1:19">
      <c r="A45" s="8" t="s">
        <v>28</v>
      </c>
      <c r="B45" s="8" t="s">
        <v>29</v>
      </c>
      <c r="C45" s="6">
        <v>45017</v>
      </c>
      <c r="D45" s="48"/>
      <c r="E45" s="8" t="s">
        <v>178</v>
      </c>
      <c r="F45" s="8" t="s">
        <v>48</v>
      </c>
      <c r="G45" s="9" t="s">
        <v>49</v>
      </c>
      <c r="H45" s="44"/>
      <c r="I45" s="9">
        <v>30</v>
      </c>
      <c r="J45" s="9">
        <v>20</v>
      </c>
      <c r="K45" s="9">
        <f t="shared" si="0"/>
        <v>600</v>
      </c>
      <c r="L45" s="6">
        <v>45019</v>
      </c>
      <c r="M45" s="60" t="s">
        <v>179</v>
      </c>
      <c r="N45" s="20">
        <v>45085</v>
      </c>
      <c r="O45" s="12" t="s">
        <v>180</v>
      </c>
      <c r="Q45" s="50"/>
      <c r="R45" s="50" t="s">
        <v>122</v>
      </c>
      <c r="S45" s="12"/>
    </row>
    <row r="46" s="8" customFormat="1" spans="1:19">
      <c r="A46" s="8" t="s">
        <v>33</v>
      </c>
      <c r="B46" s="8" t="s">
        <v>100</v>
      </c>
      <c r="C46" s="6">
        <v>45020</v>
      </c>
      <c r="D46" s="48"/>
      <c r="E46" s="8" t="s">
        <v>181</v>
      </c>
      <c r="F46" s="8" t="s">
        <v>54</v>
      </c>
      <c r="G46" s="9" t="s">
        <v>25</v>
      </c>
      <c r="H46" s="44">
        <v>1</v>
      </c>
      <c r="I46" s="9">
        <v>15</v>
      </c>
      <c r="J46" s="9">
        <v>11</v>
      </c>
      <c r="K46" s="9">
        <v>165</v>
      </c>
      <c r="L46" s="6">
        <v>45023</v>
      </c>
      <c r="M46" s="60" t="s">
        <v>182</v>
      </c>
      <c r="N46" s="20">
        <v>45077</v>
      </c>
      <c r="O46" s="12" t="s">
        <v>183</v>
      </c>
      <c r="Q46" s="50"/>
      <c r="R46" s="50" t="s">
        <v>95</v>
      </c>
      <c r="S46" s="12"/>
    </row>
    <row r="47" s="8" customFormat="1" spans="1:19">
      <c r="A47" s="8" t="s">
        <v>33</v>
      </c>
      <c r="B47" s="8" t="s">
        <v>100</v>
      </c>
      <c r="C47" s="6">
        <v>45021</v>
      </c>
      <c r="D47" s="48"/>
      <c r="E47" s="8" t="s">
        <v>184</v>
      </c>
      <c r="F47" s="8" t="s">
        <v>110</v>
      </c>
      <c r="G47" s="9" t="s">
        <v>25</v>
      </c>
      <c r="H47" s="44">
        <v>1</v>
      </c>
      <c r="I47" s="9">
        <v>15</v>
      </c>
      <c r="J47" s="9">
        <v>11</v>
      </c>
      <c r="K47" s="9">
        <v>165</v>
      </c>
      <c r="L47" s="6">
        <v>45035</v>
      </c>
      <c r="M47" s="12" t="s">
        <v>185</v>
      </c>
      <c r="N47" s="20">
        <v>45077</v>
      </c>
      <c r="O47" s="12"/>
      <c r="Q47" s="50"/>
      <c r="R47" s="50" t="s">
        <v>95</v>
      </c>
      <c r="S47" s="12"/>
    </row>
    <row r="48" s="8" customFormat="1" spans="1:19">
      <c r="A48" s="8" t="s">
        <v>186</v>
      </c>
      <c r="B48" s="8" t="s">
        <v>187</v>
      </c>
      <c r="C48" s="6">
        <v>45026</v>
      </c>
      <c r="D48" s="49" t="s">
        <v>188</v>
      </c>
      <c r="E48" s="8" t="s">
        <v>189</v>
      </c>
      <c r="F48" s="8" t="s">
        <v>24</v>
      </c>
      <c r="G48" s="9" t="s">
        <v>25</v>
      </c>
      <c r="H48" s="44">
        <v>3</v>
      </c>
      <c r="I48" s="9">
        <v>40</v>
      </c>
      <c r="J48" s="9">
        <v>320</v>
      </c>
      <c r="K48" s="9">
        <f t="shared" si="0"/>
        <v>12800</v>
      </c>
      <c r="L48" s="6">
        <v>45026</v>
      </c>
      <c r="M48" s="49" t="s">
        <v>190</v>
      </c>
      <c r="N48" s="20">
        <v>45099</v>
      </c>
      <c r="O48" s="62" t="s">
        <v>191</v>
      </c>
      <c r="P48" s="63"/>
      <c r="Q48" s="50"/>
      <c r="R48" s="50" t="s">
        <v>122</v>
      </c>
      <c r="S48" s="12"/>
    </row>
    <row r="49" s="8" customFormat="1" spans="1:19">
      <c r="A49" s="8" t="s">
        <v>43</v>
      </c>
      <c r="B49" s="8" t="s">
        <v>44</v>
      </c>
      <c r="C49" s="6">
        <v>45026</v>
      </c>
      <c r="D49" s="64"/>
      <c r="E49" s="8" t="s">
        <v>192</v>
      </c>
      <c r="F49" s="8" t="s">
        <v>54</v>
      </c>
      <c r="G49" s="9" t="s">
        <v>25</v>
      </c>
      <c r="H49" s="44">
        <v>1</v>
      </c>
      <c r="I49" s="9">
        <v>22</v>
      </c>
      <c r="J49" s="9">
        <v>20</v>
      </c>
      <c r="K49" s="9">
        <f t="shared" si="0"/>
        <v>440</v>
      </c>
      <c r="L49" s="6">
        <v>45026</v>
      </c>
      <c r="M49" s="60" t="s">
        <v>193</v>
      </c>
      <c r="N49" s="20">
        <v>45050</v>
      </c>
      <c r="O49" s="57" t="s">
        <v>194</v>
      </c>
      <c r="P49" s="58"/>
      <c r="Q49" s="50"/>
      <c r="R49" s="50" t="s">
        <v>122</v>
      </c>
      <c r="S49" s="12"/>
    </row>
    <row r="50" s="8" customFormat="1" spans="1:19">
      <c r="A50" s="8" t="s">
        <v>28</v>
      </c>
      <c r="B50" s="8" t="s">
        <v>29</v>
      </c>
      <c r="C50" s="6">
        <v>45027</v>
      </c>
      <c r="D50" s="64"/>
      <c r="E50" s="8" t="s">
        <v>178</v>
      </c>
      <c r="F50" s="8" t="s">
        <v>48</v>
      </c>
      <c r="G50" s="9" t="s">
        <v>49</v>
      </c>
      <c r="H50" s="44"/>
      <c r="I50" s="9">
        <v>30</v>
      </c>
      <c r="J50" s="9">
        <v>10</v>
      </c>
      <c r="K50" s="9">
        <v>300</v>
      </c>
      <c r="L50" s="6">
        <v>45026</v>
      </c>
      <c r="M50" s="49" t="s">
        <v>195</v>
      </c>
      <c r="N50" s="20">
        <v>45085</v>
      </c>
      <c r="O50" s="57" t="s">
        <v>196</v>
      </c>
      <c r="P50" s="58"/>
      <c r="Q50" s="50"/>
      <c r="R50" s="50" t="s">
        <v>122</v>
      </c>
      <c r="S50" s="12"/>
    </row>
    <row r="51" s="8" customFormat="1" spans="1:19">
      <c r="A51" s="8" t="s">
        <v>28</v>
      </c>
      <c r="B51" s="8" t="s">
        <v>29</v>
      </c>
      <c r="C51" s="6">
        <v>45027</v>
      </c>
      <c r="D51" s="64"/>
      <c r="E51" s="8" t="s">
        <v>178</v>
      </c>
      <c r="F51" s="8" t="s">
        <v>48</v>
      </c>
      <c r="G51" s="9" t="s">
        <v>49</v>
      </c>
      <c r="H51" s="44"/>
      <c r="I51" s="9">
        <v>30</v>
      </c>
      <c r="J51" s="9">
        <v>6</v>
      </c>
      <c r="K51" s="9">
        <v>180</v>
      </c>
      <c r="L51" s="6">
        <v>45035</v>
      </c>
      <c r="M51" s="12" t="s">
        <v>197</v>
      </c>
      <c r="N51" s="20">
        <v>45085</v>
      </c>
      <c r="O51" s="12"/>
      <c r="Q51" s="50"/>
      <c r="R51" s="50" t="s">
        <v>122</v>
      </c>
      <c r="S51" s="12"/>
    </row>
    <row r="52" s="8" customFormat="1" spans="1:19">
      <c r="A52" s="8" t="s">
        <v>33</v>
      </c>
      <c r="B52" s="8" t="s">
        <v>34</v>
      </c>
      <c r="C52" s="6">
        <v>45033</v>
      </c>
      <c r="D52" s="48"/>
      <c r="E52" s="8" t="s">
        <v>198</v>
      </c>
      <c r="F52" s="8" t="s">
        <v>54</v>
      </c>
      <c r="G52" s="9" t="s">
        <v>25</v>
      </c>
      <c r="H52" s="44">
        <v>1</v>
      </c>
      <c r="I52" s="9">
        <v>18</v>
      </c>
      <c r="J52" s="9">
        <v>50</v>
      </c>
      <c r="K52" s="9">
        <v>900</v>
      </c>
      <c r="L52" s="6">
        <v>45034</v>
      </c>
      <c r="M52" s="49" t="s">
        <v>199</v>
      </c>
      <c r="N52" s="20">
        <v>0</v>
      </c>
      <c r="O52" s="12" t="s">
        <v>200</v>
      </c>
      <c r="Q52" s="50"/>
      <c r="R52" s="50" t="s">
        <v>95</v>
      </c>
      <c r="S52" s="12"/>
    </row>
    <row r="53" s="8" customFormat="1" spans="1:19">
      <c r="A53" s="8" t="s">
        <v>201</v>
      </c>
      <c r="B53" s="8" t="s">
        <v>108</v>
      </c>
      <c r="C53" s="6">
        <v>45033</v>
      </c>
      <c r="D53" s="48"/>
      <c r="E53" s="8" t="s">
        <v>202</v>
      </c>
      <c r="F53" s="41" t="s">
        <v>31</v>
      </c>
      <c r="G53" s="9" t="s">
        <v>25</v>
      </c>
      <c r="H53" s="44">
        <v>1</v>
      </c>
      <c r="I53" s="9">
        <v>29</v>
      </c>
      <c r="J53" s="9">
        <v>6</v>
      </c>
      <c r="K53" s="9">
        <f>I53*J53</f>
        <v>174</v>
      </c>
      <c r="L53" s="6">
        <v>45029</v>
      </c>
      <c r="M53" s="51" t="s">
        <v>167</v>
      </c>
      <c r="N53" s="20">
        <v>45033</v>
      </c>
      <c r="O53" s="12" t="s">
        <v>203</v>
      </c>
      <c r="Q53" s="50"/>
      <c r="R53" s="50" t="s">
        <v>122</v>
      </c>
      <c r="S53" s="12"/>
    </row>
    <row r="54" s="8" customFormat="1" spans="1:19">
      <c r="A54" s="8" t="s">
        <v>33</v>
      </c>
      <c r="B54" s="8" t="s">
        <v>34</v>
      </c>
      <c r="C54" s="6">
        <v>45035</v>
      </c>
      <c r="D54" s="48"/>
      <c r="E54" s="65" t="s">
        <v>204</v>
      </c>
      <c r="F54" s="8" t="s">
        <v>48</v>
      </c>
      <c r="G54" s="9" t="s">
        <v>49</v>
      </c>
      <c r="H54" s="44"/>
      <c r="I54" s="9">
        <v>28</v>
      </c>
      <c r="J54" s="9">
        <v>2850</v>
      </c>
      <c r="K54" s="9">
        <v>79800</v>
      </c>
      <c r="L54" s="6">
        <v>45037</v>
      </c>
      <c r="M54" s="49" t="s">
        <v>205</v>
      </c>
      <c r="N54" s="20">
        <v>0</v>
      </c>
      <c r="O54" s="12" t="s">
        <v>206</v>
      </c>
      <c r="Q54" s="50"/>
      <c r="R54" s="50" t="s">
        <v>95</v>
      </c>
      <c r="S54" s="12"/>
    </row>
    <row r="55" s="8" customFormat="1" spans="1:19">
      <c r="A55" s="8" t="s">
        <v>33</v>
      </c>
      <c r="B55" s="8" t="s">
        <v>34</v>
      </c>
      <c r="C55" s="6">
        <v>45035</v>
      </c>
      <c r="D55" s="66"/>
      <c r="E55" s="8" t="s">
        <v>207</v>
      </c>
      <c r="F55" s="8" t="s">
        <v>54</v>
      </c>
      <c r="G55" s="9" t="s">
        <v>25</v>
      </c>
      <c r="H55" s="44">
        <v>1</v>
      </c>
      <c r="I55" s="9">
        <v>18</v>
      </c>
      <c r="J55" s="9">
        <v>50</v>
      </c>
      <c r="K55" s="9">
        <v>900</v>
      </c>
      <c r="L55" s="6">
        <v>45035</v>
      </c>
      <c r="M55" s="49" t="s">
        <v>208</v>
      </c>
      <c r="N55" s="20">
        <v>0</v>
      </c>
      <c r="O55" s="12" t="s">
        <v>209</v>
      </c>
      <c r="Q55" s="50"/>
      <c r="R55" s="50" t="s">
        <v>95</v>
      </c>
      <c r="S55" s="51" t="s">
        <v>129</v>
      </c>
    </row>
    <row r="56" s="8" customFormat="1" spans="1:19">
      <c r="A56" s="8" t="s">
        <v>21</v>
      </c>
      <c r="B56" s="8" t="s">
        <v>22</v>
      </c>
      <c r="C56" s="6">
        <v>45035</v>
      </c>
      <c r="D56" s="48"/>
      <c r="E56" s="8" t="s">
        <v>160</v>
      </c>
      <c r="F56" s="8" t="s">
        <v>87</v>
      </c>
      <c r="G56" s="9" t="s">
        <v>25</v>
      </c>
      <c r="H56" s="44">
        <v>3</v>
      </c>
      <c r="I56" s="9">
        <v>44</v>
      </c>
      <c r="J56" s="9">
        <v>10</v>
      </c>
      <c r="K56" s="9">
        <v>440</v>
      </c>
      <c r="L56" s="6">
        <v>45036</v>
      </c>
      <c r="M56" s="49" t="s">
        <v>210</v>
      </c>
      <c r="N56" s="20">
        <v>0</v>
      </c>
      <c r="O56" s="12"/>
      <c r="Q56" s="50"/>
      <c r="R56" s="50" t="s">
        <v>95</v>
      </c>
      <c r="S56" s="12"/>
    </row>
    <row r="57" s="8" customFormat="1" spans="1:19">
      <c r="A57" s="8" t="s">
        <v>211</v>
      </c>
      <c r="B57" s="67" t="s">
        <v>108</v>
      </c>
      <c r="C57" s="6">
        <v>45036</v>
      </c>
      <c r="D57" s="64"/>
      <c r="E57" s="68" t="s">
        <v>212</v>
      </c>
      <c r="F57" s="41" t="s">
        <v>31</v>
      </c>
      <c r="G57" s="9" t="s">
        <v>25</v>
      </c>
      <c r="H57" s="44">
        <v>1</v>
      </c>
      <c r="I57" s="9">
        <v>35</v>
      </c>
      <c r="J57" s="9">
        <v>1</v>
      </c>
      <c r="K57" s="9">
        <v>35</v>
      </c>
      <c r="L57" s="6">
        <v>45039</v>
      </c>
      <c r="M57" s="49" t="s">
        <v>213</v>
      </c>
      <c r="N57" s="20">
        <f>SUM(K57:M57)</f>
        <v>45074</v>
      </c>
      <c r="O57" s="12" t="s">
        <v>214</v>
      </c>
      <c r="S57" s="12"/>
    </row>
    <row r="58" s="8" customFormat="1" spans="1:19">
      <c r="A58" s="8" t="s">
        <v>33</v>
      </c>
      <c r="B58" s="8" t="s">
        <v>100</v>
      </c>
      <c r="C58" s="6">
        <v>45040</v>
      </c>
      <c r="D58" s="48"/>
      <c r="E58" s="8" t="s">
        <v>215</v>
      </c>
      <c r="F58" s="8" t="s">
        <v>54</v>
      </c>
      <c r="G58" s="9" t="s">
        <v>25</v>
      </c>
      <c r="H58" s="44">
        <v>1</v>
      </c>
      <c r="I58" s="9">
        <v>5</v>
      </c>
      <c r="J58" s="9">
        <v>4939</v>
      </c>
      <c r="K58" s="9">
        <f>I58*J58</f>
        <v>24695</v>
      </c>
      <c r="L58" s="6">
        <v>45063</v>
      </c>
      <c r="M58" s="49" t="s">
        <v>216</v>
      </c>
      <c r="N58" s="20">
        <v>0</v>
      </c>
      <c r="O58" s="12" t="s">
        <v>217</v>
      </c>
      <c r="Q58" s="50"/>
      <c r="R58" s="50" t="s">
        <v>95</v>
      </c>
      <c r="S58" s="12"/>
    </row>
    <row r="59" s="8" customFormat="1" spans="1:19">
      <c r="A59" s="8" t="s">
        <v>33</v>
      </c>
      <c r="B59" s="8" t="s">
        <v>100</v>
      </c>
      <c r="C59" s="6">
        <v>45041</v>
      </c>
      <c r="D59" s="48"/>
      <c r="E59" s="8" t="s">
        <v>218</v>
      </c>
      <c r="F59" s="8" t="s">
        <v>54</v>
      </c>
      <c r="G59" s="9" t="s">
        <v>25</v>
      </c>
      <c r="H59" s="44">
        <v>1</v>
      </c>
      <c r="I59" s="9">
        <v>5</v>
      </c>
      <c r="J59" s="9">
        <v>350</v>
      </c>
      <c r="K59" s="9">
        <v>1750</v>
      </c>
      <c r="L59" s="6">
        <v>45063</v>
      </c>
      <c r="M59" s="49" t="s">
        <v>219</v>
      </c>
      <c r="N59" s="20">
        <v>0</v>
      </c>
      <c r="O59" s="12" t="s">
        <v>220</v>
      </c>
      <c r="Q59" s="50"/>
      <c r="R59" s="50" t="s">
        <v>95</v>
      </c>
      <c r="S59" s="12"/>
    </row>
    <row r="60" s="8" customFormat="1" spans="1:19">
      <c r="A60" s="8" t="s">
        <v>33</v>
      </c>
      <c r="B60" s="8" t="s">
        <v>34</v>
      </c>
      <c r="C60" s="6">
        <v>45042</v>
      </c>
      <c r="D60" s="48"/>
      <c r="E60" s="8" t="s">
        <v>221</v>
      </c>
      <c r="F60" s="8" t="s">
        <v>54</v>
      </c>
      <c r="G60" s="9" t="s">
        <v>25</v>
      </c>
      <c r="H60" s="44">
        <v>1</v>
      </c>
      <c r="I60" s="9">
        <v>12</v>
      </c>
      <c r="J60" s="9">
        <v>107</v>
      </c>
      <c r="K60" s="9">
        <v>1284</v>
      </c>
      <c r="L60" s="6">
        <v>45043</v>
      </c>
      <c r="M60" s="49" t="s">
        <v>222</v>
      </c>
      <c r="N60" s="20">
        <v>0</v>
      </c>
      <c r="O60" s="12" t="s">
        <v>223</v>
      </c>
      <c r="Q60" s="50"/>
      <c r="R60" s="50" t="s">
        <v>95</v>
      </c>
      <c r="S60" s="51" t="s">
        <v>224</v>
      </c>
    </row>
    <row r="61" s="8" customFormat="1" spans="1:19">
      <c r="A61" s="8" t="s">
        <v>33</v>
      </c>
      <c r="B61" s="8" t="s">
        <v>104</v>
      </c>
      <c r="C61" s="6">
        <v>45043</v>
      </c>
      <c r="D61" s="48"/>
      <c r="E61" s="8" t="s">
        <v>225</v>
      </c>
      <c r="F61" s="8" t="s">
        <v>24</v>
      </c>
      <c r="G61" s="9" t="s">
        <v>25</v>
      </c>
      <c r="H61" s="44">
        <v>3</v>
      </c>
      <c r="I61" s="9">
        <v>60</v>
      </c>
      <c r="J61" s="9">
        <v>5</v>
      </c>
      <c r="K61" s="9">
        <v>300</v>
      </c>
      <c r="L61" s="6">
        <v>45043</v>
      </c>
      <c r="M61" s="49" t="s">
        <v>226</v>
      </c>
      <c r="N61" s="20">
        <v>0</v>
      </c>
      <c r="O61" s="12" t="s">
        <v>227</v>
      </c>
      <c r="Q61" s="50"/>
      <c r="R61" s="50" t="s">
        <v>95</v>
      </c>
      <c r="S61" s="12"/>
    </row>
    <row r="62" s="8" customFormat="1" spans="1:19">
      <c r="A62" s="8" t="s">
        <v>43</v>
      </c>
      <c r="B62" s="8" t="s">
        <v>228</v>
      </c>
      <c r="C62" s="6">
        <v>45045</v>
      </c>
      <c r="D62" s="64"/>
      <c r="E62" s="69" t="s">
        <v>229</v>
      </c>
      <c r="F62" s="8" t="s">
        <v>54</v>
      </c>
      <c r="G62" s="9" t="s">
        <v>25</v>
      </c>
      <c r="H62" s="44">
        <v>1</v>
      </c>
      <c r="I62" s="9">
        <v>22</v>
      </c>
      <c r="J62" s="9">
        <v>20</v>
      </c>
      <c r="K62" s="9">
        <v>440</v>
      </c>
      <c r="L62" s="6">
        <v>45050</v>
      </c>
      <c r="M62" s="49" t="s">
        <v>230</v>
      </c>
      <c r="N62" s="20">
        <v>45057</v>
      </c>
      <c r="O62" s="12" t="s">
        <v>231</v>
      </c>
      <c r="Q62" s="50"/>
      <c r="R62" s="50" t="s">
        <v>122</v>
      </c>
      <c r="S62" s="12"/>
    </row>
    <row r="63" s="8" customFormat="1" spans="1:19">
      <c r="A63" s="8" t="s">
        <v>43</v>
      </c>
      <c r="B63" s="8" t="s">
        <v>44</v>
      </c>
      <c r="C63" s="6">
        <v>45045</v>
      </c>
      <c r="D63" s="64" t="s">
        <v>232</v>
      </c>
      <c r="E63" s="58" t="s">
        <v>233</v>
      </c>
      <c r="F63" s="8" t="s">
        <v>54</v>
      </c>
      <c r="G63" s="9" t="s">
        <v>25</v>
      </c>
      <c r="H63" s="44">
        <v>1</v>
      </c>
      <c r="I63" s="9">
        <v>22</v>
      </c>
      <c r="J63" s="9">
        <v>10</v>
      </c>
      <c r="K63" s="9">
        <v>220</v>
      </c>
      <c r="L63" s="6">
        <v>45050</v>
      </c>
      <c r="M63" s="49" t="s">
        <v>234</v>
      </c>
      <c r="N63" s="20">
        <v>45090</v>
      </c>
      <c r="O63" s="57" t="s">
        <v>235</v>
      </c>
      <c r="P63" s="58"/>
      <c r="Q63" s="50"/>
      <c r="R63" s="50" t="s">
        <v>122</v>
      </c>
      <c r="S63" s="12"/>
    </row>
    <row r="64" s="8" customFormat="1" spans="1:19">
      <c r="A64" s="8" t="s">
        <v>28</v>
      </c>
      <c r="B64" s="8" t="s">
        <v>29</v>
      </c>
      <c r="C64" s="6">
        <v>45045</v>
      </c>
      <c r="D64" s="64"/>
      <c r="E64" s="8" t="s">
        <v>178</v>
      </c>
      <c r="F64" s="8" t="s">
        <v>48</v>
      </c>
      <c r="G64" s="9" t="s">
        <v>49</v>
      </c>
      <c r="H64" s="44"/>
      <c r="I64" s="9">
        <v>30</v>
      </c>
      <c r="J64" s="9">
        <v>5</v>
      </c>
      <c r="K64" s="9">
        <v>150</v>
      </c>
      <c r="L64" s="6">
        <v>45050</v>
      </c>
      <c r="M64" s="49" t="s">
        <v>236</v>
      </c>
      <c r="N64" s="20">
        <v>45085</v>
      </c>
      <c r="O64" s="12"/>
      <c r="Q64" s="50"/>
      <c r="R64" s="50" t="s">
        <v>122</v>
      </c>
      <c r="S64" s="12"/>
    </row>
    <row r="65" s="8" customFormat="1" spans="1:19">
      <c r="A65" s="8" t="s">
        <v>139</v>
      </c>
      <c r="B65" s="8" t="s">
        <v>237</v>
      </c>
      <c r="C65" s="6">
        <v>45045</v>
      </c>
      <c r="D65" s="64"/>
      <c r="E65" s="8" t="s">
        <v>238</v>
      </c>
      <c r="F65" s="41" t="s">
        <v>31</v>
      </c>
      <c r="G65" s="9" t="s">
        <v>25</v>
      </c>
      <c r="H65" s="44">
        <v>1</v>
      </c>
      <c r="I65" s="9">
        <v>25</v>
      </c>
      <c r="J65" s="9">
        <v>3</v>
      </c>
      <c r="K65" s="9">
        <v>75</v>
      </c>
      <c r="L65" s="6">
        <v>45050</v>
      </c>
      <c r="M65" s="49" t="s">
        <v>239</v>
      </c>
      <c r="N65" s="20">
        <v>0</v>
      </c>
      <c r="O65" s="12">
        <v>438700307</v>
      </c>
      <c r="Q65" s="50"/>
      <c r="R65" s="50" t="s">
        <v>122</v>
      </c>
      <c r="S65" s="12" t="s">
        <v>240</v>
      </c>
    </row>
    <row r="66" s="8" customFormat="1" spans="1:19">
      <c r="A66" s="8" t="s">
        <v>21</v>
      </c>
      <c r="B66" s="8" t="s">
        <v>22</v>
      </c>
      <c r="C66" s="6">
        <v>45049</v>
      </c>
      <c r="D66" s="64"/>
      <c r="E66" s="65" t="s">
        <v>241</v>
      </c>
      <c r="F66" s="8" t="s">
        <v>54</v>
      </c>
      <c r="G66" s="9" t="s">
        <v>25</v>
      </c>
      <c r="H66" s="44">
        <v>1</v>
      </c>
      <c r="I66" s="9">
        <v>18</v>
      </c>
      <c r="J66" s="9">
        <v>1</v>
      </c>
      <c r="K66" s="9">
        <v>18</v>
      </c>
      <c r="L66" s="6">
        <v>45051</v>
      </c>
      <c r="M66" s="49" t="s">
        <v>242</v>
      </c>
      <c r="N66" s="20">
        <v>0</v>
      </c>
      <c r="O66" s="12" t="s">
        <v>243</v>
      </c>
      <c r="Q66" s="50"/>
      <c r="R66" s="50" t="s">
        <v>95</v>
      </c>
      <c r="S66" s="12"/>
    </row>
    <row r="67" s="8" customFormat="1" spans="1:19">
      <c r="A67" s="8" t="s">
        <v>33</v>
      </c>
      <c r="B67" s="8" t="s">
        <v>34</v>
      </c>
      <c r="C67" s="6">
        <v>45051</v>
      </c>
      <c r="D67" s="64"/>
      <c r="E67" s="8" t="s">
        <v>244</v>
      </c>
      <c r="F67" s="8" t="s">
        <v>48</v>
      </c>
      <c r="G67" s="9" t="s">
        <v>49</v>
      </c>
      <c r="H67" s="44"/>
      <c r="I67" s="9">
        <v>50</v>
      </c>
      <c r="J67" s="9">
        <v>185</v>
      </c>
      <c r="K67" s="9">
        <v>9250</v>
      </c>
      <c r="L67" s="6">
        <v>45052</v>
      </c>
      <c r="M67" s="49" t="s">
        <v>245</v>
      </c>
      <c r="N67" s="20">
        <v>0</v>
      </c>
      <c r="O67" s="12" t="s">
        <v>246</v>
      </c>
      <c r="Q67" s="50"/>
      <c r="R67" s="50" t="s">
        <v>95</v>
      </c>
      <c r="S67" s="12"/>
    </row>
    <row r="68" s="8" customFormat="1" spans="1:19">
      <c r="A68" s="8" t="s">
        <v>33</v>
      </c>
      <c r="B68" s="8" t="s">
        <v>100</v>
      </c>
      <c r="C68" s="6">
        <v>45051</v>
      </c>
      <c r="D68" s="64"/>
      <c r="E68" s="8" t="s">
        <v>247</v>
      </c>
      <c r="F68" s="8" t="s">
        <v>48</v>
      </c>
      <c r="G68" s="9" t="s">
        <v>49</v>
      </c>
      <c r="H68" s="44"/>
      <c r="I68" s="9">
        <v>45</v>
      </c>
      <c r="J68" s="9">
        <v>2</v>
      </c>
      <c r="K68" s="9">
        <v>90</v>
      </c>
      <c r="L68" s="6">
        <v>45051</v>
      </c>
      <c r="M68" s="49" t="s">
        <v>248</v>
      </c>
      <c r="N68" s="20">
        <v>0</v>
      </c>
      <c r="O68" s="12" t="s">
        <v>249</v>
      </c>
      <c r="Q68" s="50"/>
      <c r="R68" s="50" t="s">
        <v>95</v>
      </c>
      <c r="S68" s="12"/>
    </row>
    <row r="69" s="8" customFormat="1" ht="15.5" spans="1:19">
      <c r="A69" s="8" t="s">
        <v>28</v>
      </c>
      <c r="B69" s="8" t="s">
        <v>29</v>
      </c>
      <c r="C69" s="6">
        <v>45055</v>
      </c>
      <c r="D69" s="64"/>
      <c r="E69" s="8" t="s">
        <v>178</v>
      </c>
      <c r="F69" s="8" t="s">
        <v>48</v>
      </c>
      <c r="G69" s="9" t="s">
        <v>49</v>
      </c>
      <c r="H69" s="44">
        <v>1</v>
      </c>
      <c r="I69" s="9">
        <v>30</v>
      </c>
      <c r="J69" s="9">
        <v>7</v>
      </c>
      <c r="K69" s="9">
        <v>210</v>
      </c>
      <c r="L69" s="6">
        <v>45055</v>
      </c>
      <c r="M69" s="49" t="s">
        <v>250</v>
      </c>
      <c r="N69" s="20">
        <v>0</v>
      </c>
      <c r="O69" s="57" t="s">
        <v>251</v>
      </c>
      <c r="P69" s="58"/>
      <c r="Q69" s="50"/>
      <c r="R69" s="50" t="s">
        <v>122</v>
      </c>
      <c r="S69" s="70" t="s">
        <v>252</v>
      </c>
    </row>
    <row r="70" s="8" customFormat="1" ht="15.5" spans="1:19">
      <c r="A70" s="8" t="s">
        <v>253</v>
      </c>
      <c r="B70" s="8" t="s">
        <v>254</v>
      </c>
      <c r="C70" s="6">
        <v>45055</v>
      </c>
      <c r="D70" s="64"/>
      <c r="E70" s="8" t="s">
        <v>255</v>
      </c>
      <c r="F70" s="41" t="s">
        <v>31</v>
      </c>
      <c r="G70" s="9" t="s">
        <v>25</v>
      </c>
      <c r="H70" s="44">
        <v>1</v>
      </c>
      <c r="I70" s="9">
        <v>15</v>
      </c>
      <c r="J70" s="9">
        <v>10</v>
      </c>
      <c r="K70" s="9">
        <v>150</v>
      </c>
      <c r="L70" s="6">
        <v>45055</v>
      </c>
      <c r="M70" s="49" t="s">
        <v>256</v>
      </c>
      <c r="N70" s="20">
        <v>45090</v>
      </c>
      <c r="O70" s="12" t="s">
        <v>257</v>
      </c>
      <c r="Q70" s="50"/>
      <c r="R70" s="50" t="s">
        <v>122</v>
      </c>
      <c r="S70" s="70" t="s">
        <v>258</v>
      </c>
    </row>
    <row r="71" s="8" customFormat="1" ht="15.5" spans="1:19">
      <c r="A71" s="8" t="s">
        <v>28</v>
      </c>
      <c r="B71" s="8" t="s">
        <v>29</v>
      </c>
      <c r="C71" s="6">
        <v>45055</v>
      </c>
      <c r="D71" s="64"/>
      <c r="E71" s="8" t="s">
        <v>178</v>
      </c>
      <c r="F71" s="8" t="s">
        <v>54</v>
      </c>
      <c r="G71" s="9" t="s">
        <v>25</v>
      </c>
      <c r="H71" s="44">
        <v>1</v>
      </c>
      <c r="I71" s="9">
        <v>10</v>
      </c>
      <c r="J71" s="9">
        <v>3</v>
      </c>
      <c r="K71" s="9">
        <v>30</v>
      </c>
      <c r="L71" s="6">
        <v>45055</v>
      </c>
      <c r="M71" s="49" t="s">
        <v>250</v>
      </c>
      <c r="N71" s="20">
        <v>0</v>
      </c>
      <c r="O71" s="57" t="s">
        <v>259</v>
      </c>
      <c r="P71" s="58"/>
      <c r="Q71" s="50"/>
      <c r="R71" s="50" t="s">
        <v>122</v>
      </c>
      <c r="S71" s="70" t="s">
        <v>260</v>
      </c>
    </row>
    <row r="72" s="8" customFormat="1" ht="15.5" spans="1:19">
      <c r="A72" s="8" t="s">
        <v>33</v>
      </c>
      <c r="B72" s="8" t="s">
        <v>34</v>
      </c>
      <c r="C72" s="6">
        <v>45058</v>
      </c>
      <c r="D72" s="64"/>
      <c r="E72" s="8" t="s">
        <v>261</v>
      </c>
      <c r="F72" s="8" t="s">
        <v>48</v>
      </c>
      <c r="G72" s="9" t="s">
        <v>49</v>
      </c>
      <c r="H72" s="44"/>
      <c r="I72" s="9">
        <v>50</v>
      </c>
      <c r="J72" s="9">
        <v>10</v>
      </c>
      <c r="K72" s="9">
        <v>500</v>
      </c>
      <c r="L72" s="6">
        <v>45065</v>
      </c>
      <c r="M72" s="49" t="s">
        <v>262</v>
      </c>
      <c r="N72" s="20">
        <v>0</v>
      </c>
      <c r="O72" s="12" t="s">
        <v>263</v>
      </c>
      <c r="Q72" s="50"/>
      <c r="R72" s="50" t="s">
        <v>95</v>
      </c>
      <c r="S72" s="70"/>
    </row>
    <row r="73" s="8" customFormat="1" ht="112" spans="1:19">
      <c r="A73" s="8" t="s">
        <v>51</v>
      </c>
      <c r="B73" s="8" t="s">
        <v>118</v>
      </c>
      <c r="C73" s="6">
        <v>45061</v>
      </c>
      <c r="D73" s="66"/>
      <c r="E73" s="8" t="s">
        <v>264</v>
      </c>
      <c r="F73" s="8" t="s">
        <v>48</v>
      </c>
      <c r="G73" s="9" t="s">
        <v>49</v>
      </c>
      <c r="H73" s="44"/>
      <c r="I73" s="9">
        <v>40</v>
      </c>
      <c r="J73" s="9">
        <v>5</v>
      </c>
      <c r="K73" s="9">
        <v>200</v>
      </c>
      <c r="L73" s="6">
        <v>45060</v>
      </c>
      <c r="M73" s="49" t="s">
        <v>265</v>
      </c>
      <c r="N73" s="20">
        <v>0</v>
      </c>
      <c r="O73" s="71" t="s">
        <v>266</v>
      </c>
      <c r="P73" s="72"/>
      <c r="Q73" s="50"/>
      <c r="R73" s="50" t="s">
        <v>122</v>
      </c>
      <c r="S73" s="70" t="s">
        <v>267</v>
      </c>
    </row>
    <row r="74" s="8" customFormat="1" spans="1:19">
      <c r="A74" s="8" t="s">
        <v>43</v>
      </c>
      <c r="B74" s="8" t="s">
        <v>44</v>
      </c>
      <c r="C74" s="6">
        <v>45062</v>
      </c>
      <c r="D74" s="64"/>
      <c r="E74" s="58" t="s">
        <v>268</v>
      </c>
      <c r="F74" s="8" t="s">
        <v>54</v>
      </c>
      <c r="G74" s="9" t="s">
        <v>25</v>
      </c>
      <c r="H74" s="44">
        <v>1</v>
      </c>
      <c r="I74" s="9">
        <v>17</v>
      </c>
      <c r="J74" s="9">
        <v>600</v>
      </c>
      <c r="K74" s="9">
        <v>10200</v>
      </c>
      <c r="L74" s="6">
        <v>45062</v>
      </c>
      <c r="M74" s="49" t="s">
        <v>269</v>
      </c>
      <c r="N74" s="20">
        <v>45090</v>
      </c>
      <c r="O74" s="57" t="s">
        <v>194</v>
      </c>
      <c r="P74" s="58"/>
      <c r="Q74" s="50"/>
      <c r="R74" s="50" t="s">
        <v>122</v>
      </c>
      <c r="S74" s="12"/>
    </row>
    <row r="75" s="8" customFormat="1" ht="15.5" spans="1:19">
      <c r="A75" s="8" t="s">
        <v>253</v>
      </c>
      <c r="B75" s="8" t="s">
        <v>108</v>
      </c>
      <c r="C75" s="6">
        <v>45062</v>
      </c>
      <c r="D75" s="64"/>
      <c r="E75" s="73" t="s">
        <v>270</v>
      </c>
      <c r="F75" s="8" t="s">
        <v>110</v>
      </c>
      <c r="G75" s="9" t="s">
        <v>25</v>
      </c>
      <c r="H75" s="44">
        <v>1</v>
      </c>
      <c r="I75" s="9">
        <v>39</v>
      </c>
      <c r="J75" s="9">
        <v>6</v>
      </c>
      <c r="K75" s="9">
        <v>234</v>
      </c>
      <c r="L75" s="6">
        <v>45062</v>
      </c>
      <c r="M75" s="49" t="s">
        <v>271</v>
      </c>
      <c r="N75" s="74">
        <v>45057</v>
      </c>
      <c r="O75" s="57"/>
      <c r="P75" s="58"/>
      <c r="Q75" s="50"/>
      <c r="R75" s="50" t="s">
        <v>122</v>
      </c>
      <c r="S75" s="70" t="s">
        <v>272</v>
      </c>
    </row>
    <row r="76" s="8" customFormat="1" ht="15.5" spans="1:19">
      <c r="A76" s="8" t="s">
        <v>33</v>
      </c>
      <c r="B76" s="8" t="s">
        <v>100</v>
      </c>
      <c r="C76" s="6">
        <v>45062</v>
      </c>
      <c r="D76" s="64"/>
      <c r="E76" s="8" t="s">
        <v>273</v>
      </c>
      <c r="F76" s="8" t="s">
        <v>48</v>
      </c>
      <c r="G76" s="9" t="s">
        <v>49</v>
      </c>
      <c r="H76" s="44">
        <v>1</v>
      </c>
      <c r="I76" s="9">
        <v>45</v>
      </c>
      <c r="J76" s="9">
        <v>1</v>
      </c>
      <c r="K76" s="9">
        <v>45</v>
      </c>
      <c r="L76" s="6">
        <v>45063</v>
      </c>
      <c r="M76" s="49" t="s">
        <v>274</v>
      </c>
      <c r="N76" s="20">
        <v>0</v>
      </c>
      <c r="O76" s="57" t="s">
        <v>275</v>
      </c>
      <c r="P76" s="58"/>
      <c r="Q76" s="50"/>
      <c r="R76" s="50" t="s">
        <v>95</v>
      </c>
      <c r="S76" s="70" t="s">
        <v>276</v>
      </c>
    </row>
    <row r="77" s="8" customFormat="1" ht="15.5" spans="1:19">
      <c r="A77" s="8" t="s">
        <v>33</v>
      </c>
      <c r="B77" s="8" t="s">
        <v>100</v>
      </c>
      <c r="C77" s="6">
        <v>45062</v>
      </c>
      <c r="D77" s="64"/>
      <c r="E77" s="8" t="s">
        <v>273</v>
      </c>
      <c r="F77" s="8" t="s">
        <v>48</v>
      </c>
      <c r="G77" s="9" t="s">
        <v>49</v>
      </c>
      <c r="H77" s="44">
        <v>1</v>
      </c>
      <c r="I77" s="9">
        <v>45</v>
      </c>
      <c r="J77" s="9">
        <v>1</v>
      </c>
      <c r="K77" s="9">
        <v>45</v>
      </c>
      <c r="L77" s="6">
        <v>45063</v>
      </c>
      <c r="M77" s="49" t="s">
        <v>274</v>
      </c>
      <c r="N77" s="20">
        <v>0</v>
      </c>
      <c r="O77" s="57" t="s">
        <v>277</v>
      </c>
      <c r="P77" s="58"/>
      <c r="Q77" s="50"/>
      <c r="R77" s="50" t="s">
        <v>95</v>
      </c>
      <c r="S77" s="70" t="s">
        <v>278</v>
      </c>
    </row>
    <row r="78" s="8" customFormat="1" ht="15.5" spans="1:19">
      <c r="A78" s="8" t="s">
        <v>33</v>
      </c>
      <c r="B78" s="8" t="s">
        <v>104</v>
      </c>
      <c r="C78" s="6">
        <v>45062</v>
      </c>
      <c r="D78" s="64"/>
      <c r="E78" s="8" t="s">
        <v>279</v>
      </c>
      <c r="F78" s="8" t="s">
        <v>54</v>
      </c>
      <c r="G78" s="9" t="s">
        <v>25</v>
      </c>
      <c r="H78" s="44">
        <v>1</v>
      </c>
      <c r="I78" s="9">
        <v>25</v>
      </c>
      <c r="J78" s="9">
        <v>1</v>
      </c>
      <c r="K78" s="9">
        <v>25</v>
      </c>
      <c r="L78" s="6">
        <v>45063</v>
      </c>
      <c r="M78" s="49" t="s">
        <v>280</v>
      </c>
      <c r="N78" s="20">
        <v>0</v>
      </c>
      <c r="O78" s="12" t="s">
        <v>281</v>
      </c>
      <c r="Q78" s="50"/>
      <c r="R78" s="50" t="s">
        <v>95</v>
      </c>
      <c r="S78" s="70" t="s">
        <v>282</v>
      </c>
    </row>
    <row r="79" s="8" customFormat="1" ht="15.5" spans="1:19">
      <c r="A79" s="8" t="s">
        <v>28</v>
      </c>
      <c r="B79" s="8" t="s">
        <v>29</v>
      </c>
      <c r="C79" s="6">
        <v>45071</v>
      </c>
      <c r="D79" s="64"/>
      <c r="E79" s="8" t="s">
        <v>283</v>
      </c>
      <c r="F79" s="8" t="s">
        <v>110</v>
      </c>
      <c r="G79" s="9" t="s">
        <v>25</v>
      </c>
      <c r="H79" s="9">
        <v>1</v>
      </c>
      <c r="I79" s="9">
        <v>10</v>
      </c>
      <c r="J79" s="9">
        <v>223</v>
      </c>
      <c r="K79" s="9">
        <v>2230</v>
      </c>
      <c r="L79" s="6">
        <v>45120</v>
      </c>
      <c r="M79" s="49" t="s">
        <v>284</v>
      </c>
      <c r="N79" s="20">
        <v>0</v>
      </c>
      <c r="O79" s="57"/>
      <c r="P79" s="58"/>
      <c r="Q79" s="50"/>
      <c r="R79" s="50" t="s">
        <v>122</v>
      </c>
      <c r="S79" s="70" t="s">
        <v>285</v>
      </c>
    </row>
    <row r="80" s="8" customFormat="1" spans="1:19">
      <c r="A80" s="8" t="s">
        <v>33</v>
      </c>
      <c r="B80" s="8" t="s">
        <v>34</v>
      </c>
      <c r="C80" s="6">
        <v>45072</v>
      </c>
      <c r="D80" s="66"/>
      <c r="E80" s="8" t="s">
        <v>286</v>
      </c>
      <c r="F80" s="8" t="s">
        <v>54</v>
      </c>
      <c r="G80" s="9" t="s">
        <v>25</v>
      </c>
      <c r="H80" s="9">
        <v>1</v>
      </c>
      <c r="I80" s="9">
        <v>8</v>
      </c>
      <c r="J80" s="9">
        <v>1000</v>
      </c>
      <c r="K80" s="9">
        <v>8000</v>
      </c>
      <c r="L80" s="6">
        <v>45076</v>
      </c>
      <c r="M80" s="60" t="s">
        <v>287</v>
      </c>
      <c r="N80" s="20">
        <v>0</v>
      </c>
      <c r="O80" s="12"/>
      <c r="Q80" s="50"/>
      <c r="R80" s="50" t="s">
        <v>95</v>
      </c>
      <c r="S80" s="12"/>
    </row>
    <row r="81" s="8" customFormat="1" spans="1:19">
      <c r="A81" s="8" t="s">
        <v>33</v>
      </c>
      <c r="B81" s="8" t="s">
        <v>100</v>
      </c>
      <c r="C81" s="6">
        <v>45072</v>
      </c>
      <c r="D81" s="66"/>
      <c r="E81" s="8" t="s">
        <v>288</v>
      </c>
      <c r="F81" s="8" t="s">
        <v>54</v>
      </c>
      <c r="G81" s="9" t="s">
        <v>25</v>
      </c>
      <c r="H81" s="9">
        <v>1</v>
      </c>
      <c r="I81" s="9">
        <v>10</v>
      </c>
      <c r="J81" s="9">
        <v>100</v>
      </c>
      <c r="K81" s="9">
        <v>1000</v>
      </c>
      <c r="L81" s="6">
        <v>45075</v>
      </c>
      <c r="M81" s="49" t="s">
        <v>289</v>
      </c>
      <c r="N81" s="20">
        <v>0</v>
      </c>
      <c r="O81" s="12" t="s">
        <v>290</v>
      </c>
      <c r="Q81" s="50"/>
      <c r="R81" s="50" t="s">
        <v>95</v>
      </c>
      <c r="S81" s="12"/>
    </row>
    <row r="82" s="8" customFormat="1" spans="1:19">
      <c r="A82" s="8" t="s">
        <v>33</v>
      </c>
      <c r="B82" s="8" t="s">
        <v>34</v>
      </c>
      <c r="C82" s="6">
        <v>45072</v>
      </c>
      <c r="D82" s="66"/>
      <c r="E82" s="8" t="s">
        <v>291</v>
      </c>
      <c r="F82" s="8" t="s">
        <v>54</v>
      </c>
      <c r="G82" s="9" t="s">
        <v>25</v>
      </c>
      <c r="H82" s="9">
        <v>1</v>
      </c>
      <c r="I82" s="9">
        <v>15</v>
      </c>
      <c r="J82" s="9">
        <v>50</v>
      </c>
      <c r="K82" s="9">
        <v>750</v>
      </c>
      <c r="L82" s="6">
        <v>45076</v>
      </c>
      <c r="M82" s="60" t="s">
        <v>292</v>
      </c>
      <c r="N82" s="20">
        <v>0</v>
      </c>
      <c r="O82" s="12" t="s">
        <v>293</v>
      </c>
      <c r="Q82" s="50"/>
      <c r="R82" s="50" t="s">
        <v>95</v>
      </c>
      <c r="S82" s="12"/>
    </row>
    <row r="83" s="8" customFormat="1" spans="1:19">
      <c r="A83" s="8" t="s">
        <v>33</v>
      </c>
      <c r="B83" s="8" t="s">
        <v>100</v>
      </c>
      <c r="C83" s="6">
        <v>45072</v>
      </c>
      <c r="D83" s="66"/>
      <c r="E83" s="8" t="s">
        <v>294</v>
      </c>
      <c r="F83" s="8" t="s">
        <v>295</v>
      </c>
      <c r="G83" s="9" t="s">
        <v>25</v>
      </c>
      <c r="H83" s="9">
        <v>1</v>
      </c>
      <c r="I83" s="9">
        <v>15</v>
      </c>
      <c r="J83" s="9">
        <v>20</v>
      </c>
      <c r="K83" s="9">
        <v>300</v>
      </c>
      <c r="L83" s="6">
        <v>45076</v>
      </c>
      <c r="M83" s="49" t="s">
        <v>296</v>
      </c>
      <c r="N83" s="20">
        <v>0</v>
      </c>
      <c r="O83" s="12" t="s">
        <v>297</v>
      </c>
      <c r="Q83" s="50"/>
      <c r="R83" s="50" t="s">
        <v>95</v>
      </c>
      <c r="S83" s="12"/>
    </row>
    <row r="84" s="8" customFormat="1" spans="1:19">
      <c r="A84" s="8" t="s">
        <v>33</v>
      </c>
      <c r="B84" s="8" t="s">
        <v>100</v>
      </c>
      <c r="C84" s="6">
        <v>45072</v>
      </c>
      <c r="D84" s="66"/>
      <c r="E84" s="8" t="s">
        <v>298</v>
      </c>
      <c r="F84" s="8" t="s">
        <v>295</v>
      </c>
      <c r="G84" s="9" t="s">
        <v>25</v>
      </c>
      <c r="H84" s="9">
        <v>1</v>
      </c>
      <c r="I84" s="9">
        <v>15</v>
      </c>
      <c r="J84" s="9">
        <v>5</v>
      </c>
      <c r="K84" s="9">
        <v>75</v>
      </c>
      <c r="L84" s="6">
        <v>45076</v>
      </c>
      <c r="M84" s="49" t="s">
        <v>299</v>
      </c>
      <c r="N84" s="20">
        <v>0</v>
      </c>
      <c r="O84" s="57" t="s">
        <v>300</v>
      </c>
      <c r="P84" s="58"/>
      <c r="Q84" s="50"/>
      <c r="R84" s="50" t="s">
        <v>95</v>
      </c>
      <c r="S84" s="12"/>
    </row>
    <row r="85" s="8" customFormat="1" spans="1:19">
      <c r="A85" s="8" t="s">
        <v>28</v>
      </c>
      <c r="B85" s="8" t="s">
        <v>29</v>
      </c>
      <c r="C85" s="6">
        <v>45078</v>
      </c>
      <c r="D85" s="64"/>
      <c r="E85" s="8" t="s">
        <v>178</v>
      </c>
      <c r="F85" s="8" t="s">
        <v>48</v>
      </c>
      <c r="G85" s="9" t="s">
        <v>49</v>
      </c>
      <c r="H85" s="9"/>
      <c r="I85" s="9">
        <v>30</v>
      </c>
      <c r="J85" s="9">
        <v>70</v>
      </c>
      <c r="K85" s="9">
        <v>2100</v>
      </c>
      <c r="L85" s="6">
        <v>45079</v>
      </c>
      <c r="M85" s="49" t="s">
        <v>284</v>
      </c>
      <c r="N85" s="20">
        <v>0</v>
      </c>
      <c r="O85" s="12"/>
      <c r="Q85" s="50"/>
      <c r="R85" s="50" t="s">
        <v>122</v>
      </c>
      <c r="S85" s="51" t="s">
        <v>301</v>
      </c>
    </row>
    <row r="86" s="8" customFormat="1" spans="1:19">
      <c r="A86" s="8" t="s">
        <v>33</v>
      </c>
      <c r="B86" s="8" t="s">
        <v>100</v>
      </c>
      <c r="C86" s="6">
        <v>45078</v>
      </c>
      <c r="D86" s="66"/>
      <c r="E86" s="8" t="s">
        <v>302</v>
      </c>
      <c r="F86" s="8" t="s">
        <v>54</v>
      </c>
      <c r="G86" s="9" t="s">
        <v>25</v>
      </c>
      <c r="H86" s="9">
        <v>1</v>
      </c>
      <c r="I86" s="9">
        <v>10</v>
      </c>
      <c r="J86" s="9">
        <v>120</v>
      </c>
      <c r="K86" s="9">
        <v>1200</v>
      </c>
      <c r="L86" s="6">
        <v>45079</v>
      </c>
      <c r="M86" s="49" t="s">
        <v>303</v>
      </c>
      <c r="N86" s="20">
        <v>0</v>
      </c>
      <c r="O86" s="12" t="s">
        <v>304</v>
      </c>
      <c r="Q86" s="50"/>
      <c r="R86" s="50" t="s">
        <v>95</v>
      </c>
      <c r="S86" s="12"/>
    </row>
    <row r="87" s="8" customFormat="1" spans="1:19">
      <c r="A87" s="8" t="s">
        <v>33</v>
      </c>
      <c r="B87" s="8" t="s">
        <v>100</v>
      </c>
      <c r="C87" s="6">
        <v>45078</v>
      </c>
      <c r="D87" s="66"/>
      <c r="E87" s="8" t="s">
        <v>136</v>
      </c>
      <c r="F87" s="8" t="s">
        <v>54</v>
      </c>
      <c r="G87" s="9" t="s">
        <v>25</v>
      </c>
      <c r="H87" s="9">
        <v>1</v>
      </c>
      <c r="I87" s="9">
        <v>15</v>
      </c>
      <c r="J87" s="9">
        <v>20</v>
      </c>
      <c r="K87" s="9">
        <v>300</v>
      </c>
      <c r="L87" s="6">
        <v>45079</v>
      </c>
      <c r="M87" s="60" t="s">
        <v>305</v>
      </c>
      <c r="N87" s="20">
        <v>0</v>
      </c>
      <c r="O87" s="12" t="s">
        <v>306</v>
      </c>
      <c r="Q87" s="50"/>
      <c r="R87" s="50" t="s">
        <v>95</v>
      </c>
      <c r="S87" s="12"/>
    </row>
    <row r="88" s="8" customFormat="1" spans="1:19">
      <c r="A88" s="8" t="s">
        <v>28</v>
      </c>
      <c r="B88" s="8" t="s">
        <v>29</v>
      </c>
      <c r="C88" s="6">
        <v>45078</v>
      </c>
      <c r="D88" s="64"/>
      <c r="E88" s="8" t="s">
        <v>307</v>
      </c>
      <c r="F88" s="8" t="s">
        <v>110</v>
      </c>
      <c r="G88" s="9" t="s">
        <v>25</v>
      </c>
      <c r="H88" s="9">
        <v>1</v>
      </c>
      <c r="I88" s="9">
        <v>15</v>
      </c>
      <c r="J88" s="9">
        <v>4</v>
      </c>
      <c r="K88" s="9">
        <v>60</v>
      </c>
      <c r="L88" s="6">
        <v>45079</v>
      </c>
      <c r="M88" s="49" t="s">
        <v>284</v>
      </c>
      <c r="N88" s="20">
        <v>0</v>
      </c>
      <c r="O88" s="12">
        <v>609441585</v>
      </c>
      <c r="Q88" s="50"/>
      <c r="R88" s="50" t="s">
        <v>122</v>
      </c>
      <c r="S88" s="12" t="s">
        <v>308</v>
      </c>
    </row>
    <row r="89" s="8" customFormat="1" spans="1:19">
      <c r="A89" s="8" t="s">
        <v>28</v>
      </c>
      <c r="B89" s="8" t="s">
        <v>29</v>
      </c>
      <c r="C89" s="6">
        <v>45078</v>
      </c>
      <c r="D89" s="64"/>
      <c r="E89" s="8" t="s">
        <v>178</v>
      </c>
      <c r="F89" s="8" t="s">
        <v>54</v>
      </c>
      <c r="G89" s="9" t="s">
        <v>25</v>
      </c>
      <c r="H89" s="9">
        <v>1</v>
      </c>
      <c r="I89" s="9">
        <v>15</v>
      </c>
      <c r="J89" s="9">
        <v>1</v>
      </c>
      <c r="K89" s="9">
        <v>15</v>
      </c>
      <c r="L89" s="6">
        <v>45079</v>
      </c>
      <c r="M89" s="49" t="s">
        <v>284</v>
      </c>
      <c r="N89" s="20">
        <v>0</v>
      </c>
      <c r="O89" s="12"/>
      <c r="Q89" s="50"/>
      <c r="R89" s="50" t="s">
        <v>122</v>
      </c>
      <c r="S89" s="12"/>
    </row>
    <row r="90" s="8" customFormat="1" spans="1:19">
      <c r="A90" s="8" t="s">
        <v>33</v>
      </c>
      <c r="B90" s="8" t="s">
        <v>34</v>
      </c>
      <c r="C90" s="6">
        <v>45083</v>
      </c>
      <c r="D90" s="66"/>
      <c r="E90" s="8" t="s">
        <v>309</v>
      </c>
      <c r="F90" s="8" t="s">
        <v>48</v>
      </c>
      <c r="G90" s="9" t="s">
        <v>49</v>
      </c>
      <c r="H90" s="9"/>
      <c r="I90" s="9">
        <v>50</v>
      </c>
      <c r="J90" s="9">
        <v>20</v>
      </c>
      <c r="K90" s="9">
        <v>1000</v>
      </c>
      <c r="L90" s="6">
        <v>45083</v>
      </c>
      <c r="M90" s="60" t="s">
        <v>310</v>
      </c>
      <c r="N90" s="20">
        <v>0</v>
      </c>
      <c r="O90" s="12" t="s">
        <v>311</v>
      </c>
      <c r="Q90" s="50"/>
      <c r="R90" s="50" t="s">
        <v>95</v>
      </c>
      <c r="S90" s="12"/>
    </row>
    <row r="91" s="8" customFormat="1" spans="1:19">
      <c r="A91" s="8" t="s">
        <v>33</v>
      </c>
      <c r="B91" s="8" t="s">
        <v>100</v>
      </c>
      <c r="C91" s="6">
        <v>45084</v>
      </c>
      <c r="D91" s="66"/>
      <c r="E91" s="8" t="s">
        <v>312</v>
      </c>
      <c r="F91" s="8" t="s">
        <v>54</v>
      </c>
      <c r="G91" s="9" t="s">
        <v>25</v>
      </c>
      <c r="H91" s="9">
        <v>1</v>
      </c>
      <c r="I91" s="9">
        <v>15</v>
      </c>
      <c r="J91" s="9">
        <v>5</v>
      </c>
      <c r="K91" s="9">
        <v>75</v>
      </c>
      <c r="L91" s="6">
        <v>45084</v>
      </c>
      <c r="M91" s="49" t="s">
        <v>313</v>
      </c>
      <c r="N91" s="20">
        <v>0</v>
      </c>
      <c r="O91" s="12" t="s">
        <v>314</v>
      </c>
      <c r="Q91" s="50"/>
      <c r="R91" s="50" t="s">
        <v>95</v>
      </c>
      <c r="S91" s="12"/>
    </row>
    <row r="92" s="8" customFormat="1" spans="1:19">
      <c r="A92" s="8" t="s">
        <v>51</v>
      </c>
      <c r="B92" s="8" t="s">
        <v>118</v>
      </c>
      <c r="C92" s="6">
        <v>45085</v>
      </c>
      <c r="D92" s="66"/>
      <c r="E92" s="8" t="s">
        <v>315</v>
      </c>
      <c r="F92" s="8" t="s">
        <v>54</v>
      </c>
      <c r="G92" s="9" t="s">
        <v>25</v>
      </c>
      <c r="H92" s="9">
        <v>1</v>
      </c>
      <c r="I92" s="9">
        <v>19</v>
      </c>
      <c r="J92" s="9">
        <v>40</v>
      </c>
      <c r="K92" s="9">
        <v>760</v>
      </c>
      <c r="L92" s="6">
        <v>45079</v>
      </c>
      <c r="M92" s="59" t="s">
        <v>167</v>
      </c>
      <c r="N92" s="20">
        <v>0</v>
      </c>
      <c r="O92" s="12" t="s">
        <v>316</v>
      </c>
      <c r="Q92" s="50"/>
      <c r="R92" s="50" t="s">
        <v>122</v>
      </c>
      <c r="S92" s="12"/>
    </row>
    <row r="93" s="8" customFormat="1" ht="29" spans="1:19">
      <c r="A93" s="8" t="s">
        <v>317</v>
      </c>
      <c r="B93" s="8" t="s">
        <v>108</v>
      </c>
      <c r="C93" s="6">
        <v>45089</v>
      </c>
      <c r="D93" s="48"/>
      <c r="E93" s="75" t="s">
        <v>318</v>
      </c>
      <c r="F93" s="8" t="s">
        <v>110</v>
      </c>
      <c r="G93" s="9" t="s">
        <v>25</v>
      </c>
      <c r="H93" s="44">
        <v>1</v>
      </c>
      <c r="I93" s="9">
        <v>45</v>
      </c>
      <c r="J93" s="9">
        <v>15</v>
      </c>
      <c r="K93" s="9">
        <v>675</v>
      </c>
      <c r="L93" s="6">
        <v>45090</v>
      </c>
      <c r="M93" s="49" t="s">
        <v>319</v>
      </c>
      <c r="N93" s="20">
        <v>45104</v>
      </c>
      <c r="O93" s="12" t="s">
        <v>320</v>
      </c>
      <c r="Q93" s="50"/>
      <c r="R93" s="50" t="s">
        <v>122</v>
      </c>
      <c r="S93" s="51" t="s">
        <v>321</v>
      </c>
    </row>
    <row r="94" s="8" customFormat="1" ht="130.5" spans="1:19">
      <c r="A94" s="8" t="s">
        <v>253</v>
      </c>
      <c r="B94" s="8" t="s">
        <v>254</v>
      </c>
      <c r="C94" s="6">
        <v>45090</v>
      </c>
      <c r="D94" s="48"/>
      <c r="E94" s="8" t="s">
        <v>255</v>
      </c>
      <c r="F94" s="8" t="s">
        <v>48</v>
      </c>
      <c r="G94" s="9" t="s">
        <v>49</v>
      </c>
      <c r="H94" s="44"/>
      <c r="I94" s="9">
        <v>50</v>
      </c>
      <c r="J94" s="9">
        <v>5</v>
      </c>
      <c r="K94" s="9">
        <v>250</v>
      </c>
      <c r="L94" s="6">
        <v>45092</v>
      </c>
      <c r="M94" s="49" t="s">
        <v>322</v>
      </c>
      <c r="N94" s="20">
        <v>45120</v>
      </c>
      <c r="O94" s="76" t="s">
        <v>323</v>
      </c>
      <c r="P94" s="75"/>
      <c r="Q94" s="50"/>
      <c r="R94" s="50" t="s">
        <v>122</v>
      </c>
      <c r="S94" s="55" t="s">
        <v>258</v>
      </c>
    </row>
    <row r="95" s="8" customFormat="1" spans="1:19">
      <c r="A95" s="8" t="s">
        <v>51</v>
      </c>
      <c r="B95" s="8" t="s">
        <v>118</v>
      </c>
      <c r="C95" s="6">
        <v>45092</v>
      </c>
      <c r="D95" s="66"/>
      <c r="E95" s="8" t="s">
        <v>324</v>
      </c>
      <c r="F95" s="8" t="s">
        <v>48</v>
      </c>
      <c r="G95" s="9" t="s">
        <v>49</v>
      </c>
      <c r="H95" s="44"/>
      <c r="I95" s="9">
        <v>45</v>
      </c>
      <c r="J95" s="9">
        <v>12</v>
      </c>
      <c r="K95" s="9">
        <v>540</v>
      </c>
      <c r="L95" s="6">
        <v>45092</v>
      </c>
      <c r="M95" s="49" t="s">
        <v>325</v>
      </c>
      <c r="N95" s="20">
        <v>0</v>
      </c>
      <c r="O95" s="12" t="s">
        <v>326</v>
      </c>
      <c r="Q95" s="50"/>
      <c r="R95" s="50" t="s">
        <v>122</v>
      </c>
      <c r="S95" s="12"/>
    </row>
    <row r="96" s="8" customFormat="1" spans="1:19">
      <c r="A96" s="8" t="s">
        <v>33</v>
      </c>
      <c r="B96" s="8" t="s">
        <v>100</v>
      </c>
      <c r="C96" s="6">
        <v>45092</v>
      </c>
      <c r="D96" s="66"/>
      <c r="E96" s="8" t="s">
        <v>136</v>
      </c>
      <c r="F96" s="8" t="s">
        <v>54</v>
      </c>
      <c r="G96" s="9" t="s">
        <v>25</v>
      </c>
      <c r="H96" s="44">
        <v>1</v>
      </c>
      <c r="I96" s="9">
        <v>15</v>
      </c>
      <c r="J96" s="9">
        <v>20</v>
      </c>
      <c r="K96" s="9">
        <v>300</v>
      </c>
      <c r="L96" s="6">
        <v>45092</v>
      </c>
      <c r="M96" s="49" t="s">
        <v>303</v>
      </c>
      <c r="N96" s="20">
        <v>0</v>
      </c>
      <c r="O96" s="12" t="s">
        <v>327</v>
      </c>
      <c r="Q96" s="50"/>
      <c r="R96" s="50" t="s">
        <v>95</v>
      </c>
      <c r="S96" s="12"/>
    </row>
    <row r="97" s="8" customFormat="1" spans="1:19">
      <c r="A97" s="8" t="s">
        <v>28</v>
      </c>
      <c r="B97" s="8" t="s">
        <v>328</v>
      </c>
      <c r="C97" s="6">
        <v>45092</v>
      </c>
      <c r="D97" s="66"/>
      <c r="E97" s="8" t="s">
        <v>329</v>
      </c>
      <c r="F97" s="41" t="s">
        <v>31</v>
      </c>
      <c r="G97" s="9" t="s">
        <v>25</v>
      </c>
      <c r="H97" s="44">
        <v>1</v>
      </c>
      <c r="I97" s="9">
        <v>15</v>
      </c>
      <c r="J97" s="9">
        <v>2</v>
      </c>
      <c r="K97" s="9">
        <v>30</v>
      </c>
      <c r="L97" s="6">
        <v>45093</v>
      </c>
      <c r="M97" s="60" t="s">
        <v>330</v>
      </c>
      <c r="N97" s="20">
        <v>0</v>
      </c>
      <c r="O97" s="12" t="s">
        <v>331</v>
      </c>
      <c r="Q97" s="50"/>
      <c r="R97" s="50" t="s">
        <v>95</v>
      </c>
      <c r="S97" s="12"/>
    </row>
    <row r="98" s="8" customFormat="1" spans="1:19">
      <c r="A98" s="8" t="s">
        <v>33</v>
      </c>
      <c r="B98" s="8" t="s">
        <v>100</v>
      </c>
      <c r="C98" s="6">
        <v>45093</v>
      </c>
      <c r="D98" s="66"/>
      <c r="E98" s="8" t="s">
        <v>332</v>
      </c>
      <c r="F98" s="8" t="s">
        <v>54</v>
      </c>
      <c r="G98" s="9" t="s">
        <v>25</v>
      </c>
      <c r="H98" s="44">
        <v>1</v>
      </c>
      <c r="I98" s="9">
        <v>5</v>
      </c>
      <c r="J98" s="9">
        <v>400</v>
      </c>
      <c r="K98" s="9">
        <v>2000</v>
      </c>
      <c r="L98" s="6">
        <v>45093</v>
      </c>
      <c r="M98" s="49" t="s">
        <v>303</v>
      </c>
      <c r="N98" s="20">
        <v>0</v>
      </c>
      <c r="O98" s="12" t="s">
        <v>333</v>
      </c>
      <c r="Q98" s="50"/>
      <c r="R98" s="50" t="s">
        <v>95</v>
      </c>
      <c r="S98" s="12"/>
    </row>
    <row r="99" s="8" customFormat="1" spans="1:19">
      <c r="A99" s="8" t="s">
        <v>21</v>
      </c>
      <c r="B99" s="8" t="s">
        <v>22</v>
      </c>
      <c r="C99" s="6">
        <v>45093</v>
      </c>
      <c r="D99" s="66"/>
      <c r="E99" s="8" t="s">
        <v>334</v>
      </c>
      <c r="F99" s="8" t="s">
        <v>110</v>
      </c>
      <c r="G99" s="9" t="s">
        <v>25</v>
      </c>
      <c r="H99" s="44">
        <v>1</v>
      </c>
      <c r="I99" s="9">
        <v>18</v>
      </c>
      <c r="J99" s="9">
        <v>3</v>
      </c>
      <c r="K99" s="9">
        <v>54</v>
      </c>
      <c r="L99" s="6">
        <v>45093</v>
      </c>
      <c r="M99" s="49" t="s">
        <v>335</v>
      </c>
      <c r="N99" s="20">
        <v>0</v>
      </c>
      <c r="O99" s="12" t="s">
        <v>336</v>
      </c>
      <c r="Q99" s="50"/>
      <c r="R99" s="50" t="s">
        <v>95</v>
      </c>
      <c r="S99" s="12"/>
    </row>
    <row r="100" s="8" customFormat="1" spans="1:19">
      <c r="A100" s="8" t="s">
        <v>21</v>
      </c>
      <c r="B100" s="8" t="s">
        <v>22</v>
      </c>
      <c r="C100" s="6">
        <v>45096</v>
      </c>
      <c r="D100" s="66"/>
      <c r="E100" s="65" t="s">
        <v>337</v>
      </c>
      <c r="F100" s="8" t="s">
        <v>155</v>
      </c>
      <c r="G100" s="9" t="s">
        <v>25</v>
      </c>
      <c r="H100" s="44">
        <v>5</v>
      </c>
      <c r="I100" s="9">
        <v>72</v>
      </c>
      <c r="J100" s="9">
        <v>32</v>
      </c>
      <c r="K100" s="9">
        <v>2304</v>
      </c>
      <c r="L100" s="6">
        <v>45096</v>
      </c>
      <c r="M100" s="49" t="s">
        <v>338</v>
      </c>
      <c r="N100" s="20">
        <v>0</v>
      </c>
      <c r="O100" s="12" t="s">
        <v>339</v>
      </c>
      <c r="Q100" s="50"/>
      <c r="R100" s="50" t="s">
        <v>95</v>
      </c>
      <c r="S100" s="12"/>
    </row>
    <row r="101" s="8" customFormat="1" spans="1:19">
      <c r="A101" s="8" t="s">
        <v>33</v>
      </c>
      <c r="B101" s="8" t="s">
        <v>100</v>
      </c>
      <c r="C101" s="6">
        <v>45097</v>
      </c>
      <c r="D101" s="66"/>
      <c r="E101" s="8" t="s">
        <v>340</v>
      </c>
      <c r="F101" s="8" t="s">
        <v>48</v>
      </c>
      <c r="G101" s="9" t="s">
        <v>49</v>
      </c>
      <c r="H101" s="44"/>
      <c r="I101" s="9">
        <v>45</v>
      </c>
      <c r="J101" s="9">
        <v>26</v>
      </c>
      <c r="K101" s="9">
        <v>1170</v>
      </c>
      <c r="L101" s="6">
        <v>45096</v>
      </c>
      <c r="M101" s="49" t="s">
        <v>341</v>
      </c>
      <c r="N101" s="20">
        <v>0</v>
      </c>
      <c r="O101" s="12" t="s">
        <v>342</v>
      </c>
      <c r="Q101" s="50"/>
      <c r="R101" s="50" t="s">
        <v>95</v>
      </c>
      <c r="S101" s="12"/>
    </row>
    <row r="102" s="8" customFormat="1" spans="1:19">
      <c r="A102" s="8" t="s">
        <v>21</v>
      </c>
      <c r="B102" s="8" t="s">
        <v>22</v>
      </c>
      <c r="C102" s="6">
        <v>45097</v>
      </c>
      <c r="D102" s="66"/>
      <c r="E102" s="63" t="s">
        <v>343</v>
      </c>
      <c r="F102" s="8" t="s">
        <v>87</v>
      </c>
      <c r="G102" s="9" t="s">
        <v>25</v>
      </c>
      <c r="H102" s="44">
        <v>3</v>
      </c>
      <c r="I102" s="9">
        <v>44</v>
      </c>
      <c r="J102" s="9">
        <v>10</v>
      </c>
      <c r="K102" s="9">
        <v>440</v>
      </c>
      <c r="L102" s="6">
        <v>45097</v>
      </c>
      <c r="M102" s="49" t="s">
        <v>344</v>
      </c>
      <c r="N102" s="20">
        <v>0</v>
      </c>
      <c r="O102" s="51" t="s">
        <v>345</v>
      </c>
      <c r="Q102" s="50"/>
      <c r="R102" s="50" t="s">
        <v>95</v>
      </c>
      <c r="S102" s="12"/>
    </row>
    <row r="103" s="8" customFormat="1" spans="1:19">
      <c r="A103" s="8" t="s">
        <v>43</v>
      </c>
      <c r="B103" s="41" t="s">
        <v>70</v>
      </c>
      <c r="C103" s="6">
        <v>45103</v>
      </c>
      <c r="D103" s="64"/>
      <c r="E103" s="8" t="s">
        <v>346</v>
      </c>
      <c r="F103" s="8" t="s">
        <v>48</v>
      </c>
      <c r="G103" s="9" t="s">
        <v>49</v>
      </c>
      <c r="H103" s="44"/>
      <c r="I103" s="9">
        <v>50</v>
      </c>
      <c r="J103" s="9">
        <v>9</v>
      </c>
      <c r="K103" s="9">
        <v>450</v>
      </c>
      <c r="L103" s="6">
        <v>45103</v>
      </c>
      <c r="M103" s="12" t="s">
        <v>347</v>
      </c>
      <c r="N103" s="77">
        <v>45125</v>
      </c>
      <c r="O103" s="57" t="s">
        <v>348</v>
      </c>
      <c r="P103" s="58"/>
      <c r="Q103" s="50"/>
      <c r="R103" s="50" t="s">
        <v>122</v>
      </c>
      <c r="S103" s="12"/>
    </row>
    <row r="104" s="8" customFormat="1" spans="1:19">
      <c r="A104" s="8" t="s">
        <v>28</v>
      </c>
      <c r="B104" s="8" t="s">
        <v>29</v>
      </c>
      <c r="C104" s="6">
        <v>45103</v>
      </c>
      <c r="D104" s="64"/>
      <c r="E104" s="58" t="s">
        <v>307</v>
      </c>
      <c r="F104" s="8" t="s">
        <v>110</v>
      </c>
      <c r="G104" s="9" t="s">
        <v>25</v>
      </c>
      <c r="H104" s="44">
        <v>1</v>
      </c>
      <c r="I104" s="9">
        <v>15</v>
      </c>
      <c r="J104" s="9">
        <v>2</v>
      </c>
      <c r="K104" s="9">
        <v>30</v>
      </c>
      <c r="L104" s="6">
        <v>45103</v>
      </c>
      <c r="M104" s="49" t="s">
        <v>349</v>
      </c>
      <c r="N104" s="20">
        <v>0</v>
      </c>
      <c r="O104" s="12">
        <v>609441585</v>
      </c>
      <c r="Q104" s="50"/>
      <c r="R104" s="50" t="s">
        <v>122</v>
      </c>
      <c r="S104" s="12" t="s">
        <v>308</v>
      </c>
    </row>
    <row r="105" s="8" customFormat="1" spans="1:19">
      <c r="A105" s="8" t="s">
        <v>33</v>
      </c>
      <c r="B105" s="8" t="s">
        <v>34</v>
      </c>
      <c r="C105" s="6">
        <v>45105</v>
      </c>
      <c r="D105" s="64"/>
      <c r="E105" s="8" t="s">
        <v>126</v>
      </c>
      <c r="F105" s="8" t="s">
        <v>54</v>
      </c>
      <c r="G105" s="9" t="s">
        <v>25</v>
      </c>
      <c r="H105" s="44">
        <v>1</v>
      </c>
      <c r="I105" s="9">
        <v>12</v>
      </c>
      <c r="J105" s="9">
        <v>50</v>
      </c>
      <c r="K105" s="9">
        <v>600</v>
      </c>
      <c r="L105" s="6">
        <v>45106</v>
      </c>
      <c r="M105" s="49" t="s">
        <v>350</v>
      </c>
      <c r="N105" s="20">
        <v>0</v>
      </c>
      <c r="O105" s="12" t="s">
        <v>351</v>
      </c>
      <c r="Q105" s="50"/>
      <c r="R105" s="50" t="s">
        <v>95</v>
      </c>
      <c r="S105" s="51" t="s">
        <v>352</v>
      </c>
    </row>
    <row r="106" s="8" customFormat="1" spans="1:19">
      <c r="A106" s="8" t="s">
        <v>33</v>
      </c>
      <c r="B106" s="8" t="s">
        <v>74</v>
      </c>
      <c r="C106" s="6">
        <v>45106</v>
      </c>
      <c r="D106" s="66"/>
      <c r="E106" s="8" t="s">
        <v>353</v>
      </c>
      <c r="F106" s="8" t="s">
        <v>110</v>
      </c>
      <c r="G106" s="9" t="s">
        <v>25</v>
      </c>
      <c r="H106" s="44">
        <v>1</v>
      </c>
      <c r="I106" s="9">
        <v>15</v>
      </c>
      <c r="J106" s="9">
        <v>100</v>
      </c>
      <c r="K106" s="9">
        <v>1500</v>
      </c>
      <c r="L106" s="6">
        <v>45110</v>
      </c>
      <c r="M106" s="49" t="s">
        <v>354</v>
      </c>
      <c r="N106" s="20">
        <v>45126</v>
      </c>
      <c r="O106" s="12">
        <v>607887883</v>
      </c>
      <c r="Q106" s="50"/>
      <c r="R106" s="50" t="s">
        <v>122</v>
      </c>
      <c r="S106" s="12" t="s">
        <v>355</v>
      </c>
    </row>
    <row r="107" s="8" customFormat="1" spans="1:19">
      <c r="A107" s="8" t="s">
        <v>33</v>
      </c>
      <c r="B107" s="8" t="s">
        <v>34</v>
      </c>
      <c r="C107" s="6">
        <v>45106</v>
      </c>
      <c r="D107" s="64"/>
      <c r="E107" s="8" t="s">
        <v>198</v>
      </c>
      <c r="F107" s="8" t="s">
        <v>54</v>
      </c>
      <c r="G107" s="9" t="s">
        <v>25</v>
      </c>
      <c r="H107" s="44">
        <v>1</v>
      </c>
      <c r="I107" s="9">
        <v>12</v>
      </c>
      <c r="J107" s="9">
        <v>50</v>
      </c>
      <c r="K107" s="9">
        <v>600</v>
      </c>
      <c r="L107" s="6">
        <v>45106</v>
      </c>
      <c r="M107" s="49" t="s">
        <v>350</v>
      </c>
      <c r="N107" s="20">
        <v>0</v>
      </c>
      <c r="O107" s="12" t="s">
        <v>356</v>
      </c>
      <c r="Q107" s="50"/>
      <c r="R107" s="50" t="s">
        <v>95</v>
      </c>
      <c r="S107" s="51" t="s">
        <v>357</v>
      </c>
    </row>
    <row r="108" s="8" customFormat="1" spans="1:19">
      <c r="A108" s="8" t="s">
        <v>33</v>
      </c>
      <c r="B108" s="8" t="s">
        <v>100</v>
      </c>
      <c r="C108" s="6">
        <v>45106</v>
      </c>
      <c r="D108" s="66"/>
      <c r="E108" s="8" t="s">
        <v>358</v>
      </c>
      <c r="F108" s="8" t="s">
        <v>54</v>
      </c>
      <c r="G108" s="9" t="s">
        <v>25</v>
      </c>
      <c r="H108" s="44">
        <v>1</v>
      </c>
      <c r="I108" s="9">
        <v>15</v>
      </c>
      <c r="J108" s="9">
        <v>10</v>
      </c>
      <c r="K108" s="9">
        <f t="shared" ref="K108:K111" si="1">J108*I108</f>
        <v>150</v>
      </c>
      <c r="L108" s="6">
        <v>45112</v>
      </c>
      <c r="M108" s="60" t="s">
        <v>359</v>
      </c>
      <c r="N108" s="20">
        <v>0</v>
      </c>
      <c r="O108" s="12" t="s">
        <v>360</v>
      </c>
      <c r="Q108" s="50"/>
      <c r="R108" s="50" t="s">
        <v>95</v>
      </c>
      <c r="S108" s="12"/>
    </row>
    <row r="109" s="8" customFormat="1" ht="29" spans="1:19">
      <c r="A109" s="8" t="s">
        <v>33</v>
      </c>
      <c r="B109" s="8" t="s">
        <v>100</v>
      </c>
      <c r="C109" s="6">
        <v>45110</v>
      </c>
      <c r="D109" s="66"/>
      <c r="E109" s="8" t="s">
        <v>154</v>
      </c>
      <c r="F109" s="8" t="s">
        <v>155</v>
      </c>
      <c r="G109" s="9" t="s">
        <v>25</v>
      </c>
      <c r="H109" s="44">
        <v>5</v>
      </c>
      <c r="I109" s="9">
        <v>60</v>
      </c>
      <c r="J109" s="9">
        <v>3786</v>
      </c>
      <c r="K109" s="9">
        <f t="shared" si="1"/>
        <v>227160</v>
      </c>
      <c r="L109" s="6">
        <v>45110</v>
      </c>
      <c r="M109" s="60" t="s">
        <v>361</v>
      </c>
      <c r="N109" s="20">
        <v>0</v>
      </c>
      <c r="O109" s="76" t="s">
        <v>362</v>
      </c>
      <c r="P109" s="8" t="s">
        <v>363</v>
      </c>
      <c r="Q109" s="50"/>
      <c r="R109" s="50" t="s">
        <v>95</v>
      </c>
      <c r="S109" s="12" t="s">
        <v>364</v>
      </c>
    </row>
    <row r="110" s="8" customFormat="1" spans="1:19">
      <c r="A110" s="8" t="s">
        <v>33</v>
      </c>
      <c r="B110" s="8" t="s">
        <v>100</v>
      </c>
      <c r="C110" s="6">
        <v>45110</v>
      </c>
      <c r="D110" s="66"/>
      <c r="E110" s="8" t="s">
        <v>365</v>
      </c>
      <c r="F110" s="8" t="s">
        <v>54</v>
      </c>
      <c r="G110" s="9" t="s">
        <v>25</v>
      </c>
      <c r="H110" s="44">
        <v>1</v>
      </c>
      <c r="I110" s="9">
        <v>15</v>
      </c>
      <c r="J110" s="9">
        <v>80</v>
      </c>
      <c r="K110" s="9">
        <f t="shared" si="1"/>
        <v>1200</v>
      </c>
      <c r="L110" s="6">
        <v>45111</v>
      </c>
      <c r="M110" s="60" t="s">
        <v>359</v>
      </c>
      <c r="N110" s="20">
        <v>0</v>
      </c>
      <c r="O110" s="12" t="s">
        <v>366</v>
      </c>
      <c r="Q110" s="50"/>
      <c r="R110" s="50" t="s">
        <v>95</v>
      </c>
      <c r="S110" s="12"/>
    </row>
    <row r="111" s="8" customFormat="1" spans="1:19">
      <c r="A111" s="8" t="s">
        <v>21</v>
      </c>
      <c r="B111" s="8" t="s">
        <v>22</v>
      </c>
      <c r="C111" s="6">
        <v>45111</v>
      </c>
      <c r="D111" s="66"/>
      <c r="E111" s="8" t="s">
        <v>367</v>
      </c>
      <c r="F111" s="8" t="s">
        <v>54</v>
      </c>
      <c r="G111" s="9" t="s">
        <v>25</v>
      </c>
      <c r="H111" s="44">
        <v>1</v>
      </c>
      <c r="I111" s="9">
        <v>18</v>
      </c>
      <c r="J111" s="9">
        <v>6</v>
      </c>
      <c r="K111" s="9">
        <f t="shared" si="1"/>
        <v>108</v>
      </c>
      <c r="L111" s="6">
        <v>45111</v>
      </c>
      <c r="M111" s="60" t="s">
        <v>368</v>
      </c>
      <c r="N111" s="20">
        <v>0</v>
      </c>
      <c r="O111" s="12" t="s">
        <v>369</v>
      </c>
      <c r="Q111" s="50"/>
      <c r="R111" s="50" t="s">
        <v>95</v>
      </c>
      <c r="S111" s="12"/>
    </row>
    <row r="112" s="8" customFormat="1" spans="1:19">
      <c r="A112" s="8" t="s">
        <v>28</v>
      </c>
      <c r="B112" s="8" t="s">
        <v>29</v>
      </c>
      <c r="C112" s="6">
        <v>45113</v>
      </c>
      <c r="D112" s="64"/>
      <c r="E112" s="58" t="s">
        <v>370</v>
      </c>
      <c r="F112" s="8" t="s">
        <v>110</v>
      </c>
      <c r="G112" s="9" t="s">
        <v>25</v>
      </c>
      <c r="H112" s="44">
        <v>1</v>
      </c>
      <c r="I112" s="9">
        <v>15</v>
      </c>
      <c r="J112" s="9">
        <v>3</v>
      </c>
      <c r="K112" s="9">
        <v>45</v>
      </c>
      <c r="L112" s="6">
        <v>45117</v>
      </c>
      <c r="M112" s="49" t="s">
        <v>371</v>
      </c>
      <c r="N112" s="20">
        <v>0</v>
      </c>
      <c r="O112" s="12" t="s">
        <v>372</v>
      </c>
      <c r="Q112" s="50"/>
      <c r="R112" s="50" t="s">
        <v>122</v>
      </c>
      <c r="S112" s="12" t="s">
        <v>373</v>
      </c>
    </row>
    <row r="113" s="8" customFormat="1" spans="1:19">
      <c r="A113" s="8" t="s">
        <v>28</v>
      </c>
      <c r="B113" s="8" t="s">
        <v>29</v>
      </c>
      <c r="C113" s="6">
        <v>45132</v>
      </c>
      <c r="D113" s="64"/>
      <c r="E113" s="8" t="s">
        <v>374</v>
      </c>
      <c r="F113" s="8" t="s">
        <v>48</v>
      </c>
      <c r="G113" s="9" t="s">
        <v>49</v>
      </c>
      <c r="H113" s="9"/>
      <c r="I113" s="9">
        <v>30</v>
      </c>
      <c r="J113" s="9">
        <v>325</v>
      </c>
      <c r="K113" s="9">
        <v>9750</v>
      </c>
      <c r="L113" s="6">
        <v>45135</v>
      </c>
      <c r="M113" s="49" t="s">
        <v>375</v>
      </c>
      <c r="N113" s="20">
        <v>0</v>
      </c>
      <c r="O113" s="12" t="s">
        <v>376</v>
      </c>
      <c r="P113" s="8" t="s">
        <v>377</v>
      </c>
      <c r="Q113" s="50"/>
      <c r="R113" s="50" t="s">
        <v>95</v>
      </c>
      <c r="S113" s="51" t="s">
        <v>378</v>
      </c>
    </row>
    <row r="114" s="8" customFormat="1" spans="1:19">
      <c r="A114" s="8" t="s">
        <v>33</v>
      </c>
      <c r="B114" s="8" t="s">
        <v>100</v>
      </c>
      <c r="C114" s="6">
        <v>45125</v>
      </c>
      <c r="D114" s="64"/>
      <c r="E114" s="8" t="s">
        <v>379</v>
      </c>
      <c r="F114" s="8" t="s">
        <v>54</v>
      </c>
      <c r="G114" s="9" t="s">
        <v>25</v>
      </c>
      <c r="H114" s="44">
        <v>1</v>
      </c>
      <c r="I114" s="9">
        <v>5</v>
      </c>
      <c r="J114" s="9">
        <v>400</v>
      </c>
      <c r="K114" s="9">
        <v>2000</v>
      </c>
      <c r="L114" s="6">
        <v>45127</v>
      </c>
      <c r="M114" s="60" t="s">
        <v>380</v>
      </c>
      <c r="N114" s="20">
        <v>0</v>
      </c>
      <c r="O114" s="12" t="s">
        <v>381</v>
      </c>
      <c r="Q114" s="50"/>
      <c r="R114" s="50" t="s">
        <v>95</v>
      </c>
      <c r="S114" s="51" t="s">
        <v>382</v>
      </c>
    </row>
    <row r="115" s="8" customFormat="1" spans="1:19">
      <c r="A115" s="8" t="s">
        <v>33</v>
      </c>
      <c r="B115" s="8" t="s">
        <v>100</v>
      </c>
      <c r="C115" s="6">
        <v>45132</v>
      </c>
      <c r="D115" s="64"/>
      <c r="E115" s="8" t="s">
        <v>136</v>
      </c>
      <c r="F115" s="8" t="s">
        <v>54</v>
      </c>
      <c r="G115" s="9" t="s">
        <v>25</v>
      </c>
      <c r="H115" s="44">
        <v>1</v>
      </c>
      <c r="I115" s="9">
        <v>15</v>
      </c>
      <c r="J115" s="9">
        <v>20</v>
      </c>
      <c r="K115" s="9">
        <v>300</v>
      </c>
      <c r="L115" s="6">
        <v>45132</v>
      </c>
      <c r="M115" s="60" t="s">
        <v>383</v>
      </c>
      <c r="N115" s="20">
        <v>0</v>
      </c>
      <c r="O115" s="12" t="s">
        <v>384</v>
      </c>
      <c r="Q115" s="50"/>
      <c r="R115" s="50" t="s">
        <v>95</v>
      </c>
      <c r="S115" s="12"/>
    </row>
    <row r="116" s="8" customFormat="1" spans="1:19">
      <c r="A116" s="8" t="s">
        <v>28</v>
      </c>
      <c r="B116" s="8" t="s">
        <v>29</v>
      </c>
      <c r="C116" s="6">
        <v>45132</v>
      </c>
      <c r="D116" s="64"/>
      <c r="E116" s="8" t="s">
        <v>385</v>
      </c>
      <c r="F116" s="8" t="s">
        <v>54</v>
      </c>
      <c r="G116" s="9" t="s">
        <v>25</v>
      </c>
      <c r="H116" s="44">
        <v>1</v>
      </c>
      <c r="I116" s="9">
        <v>15</v>
      </c>
      <c r="J116" s="9">
        <v>5</v>
      </c>
      <c r="K116" s="9">
        <v>75</v>
      </c>
      <c r="L116" s="6">
        <v>45132</v>
      </c>
      <c r="M116" s="49" t="s">
        <v>386</v>
      </c>
      <c r="N116" s="20">
        <v>0</v>
      </c>
      <c r="O116" s="57" t="s">
        <v>387</v>
      </c>
      <c r="P116" s="58"/>
      <c r="Q116" s="50"/>
      <c r="R116" s="50" t="s">
        <v>95</v>
      </c>
      <c r="S116" s="12"/>
    </row>
    <row r="117" s="8" customFormat="1" spans="1:19">
      <c r="A117" s="58" t="s">
        <v>388</v>
      </c>
      <c r="B117" s="58" t="s">
        <v>389</v>
      </c>
      <c r="C117" s="6">
        <v>45134</v>
      </c>
      <c r="D117" s="64"/>
      <c r="E117" s="58" t="s">
        <v>389</v>
      </c>
      <c r="F117" s="8" t="s">
        <v>48</v>
      </c>
      <c r="G117" s="9" t="s">
        <v>49</v>
      </c>
      <c r="H117" s="44"/>
      <c r="I117" s="9">
        <v>69</v>
      </c>
      <c r="J117" s="9">
        <v>10</v>
      </c>
      <c r="K117" s="9">
        <v>690</v>
      </c>
      <c r="L117" s="6">
        <v>45132</v>
      </c>
      <c r="M117" s="12" t="s">
        <v>390</v>
      </c>
      <c r="N117" s="20">
        <v>0</v>
      </c>
      <c r="O117" s="12" t="s">
        <v>391</v>
      </c>
      <c r="Q117" s="50"/>
      <c r="R117" s="50" t="s">
        <v>122</v>
      </c>
      <c r="S117" s="12"/>
    </row>
    <row r="118" s="8" customFormat="1" spans="1:19">
      <c r="A118" s="8" t="s">
        <v>33</v>
      </c>
      <c r="B118" s="8" t="s">
        <v>100</v>
      </c>
      <c r="C118" s="6">
        <v>45135</v>
      </c>
      <c r="D118" s="60"/>
      <c r="E118" s="8" t="s">
        <v>392</v>
      </c>
      <c r="F118" s="8" t="s">
        <v>48</v>
      </c>
      <c r="G118" s="9" t="s">
        <v>49</v>
      </c>
      <c r="H118" s="44"/>
      <c r="I118" s="9">
        <v>45</v>
      </c>
      <c r="J118" s="9">
        <v>500</v>
      </c>
      <c r="K118" s="9">
        <f t="shared" ref="K118:K123" si="2">I118*J118</f>
        <v>22500</v>
      </c>
      <c r="L118" s="6">
        <v>45139</v>
      </c>
      <c r="M118" s="60" t="s">
        <v>393</v>
      </c>
      <c r="N118" s="20">
        <v>0</v>
      </c>
      <c r="O118" s="12" t="s">
        <v>394</v>
      </c>
      <c r="Q118" s="50"/>
      <c r="R118" s="50" t="s">
        <v>95</v>
      </c>
      <c r="S118" s="12"/>
    </row>
    <row r="119" s="8" customFormat="1" spans="1:19">
      <c r="A119" s="8" t="s">
        <v>43</v>
      </c>
      <c r="B119" s="41" t="s">
        <v>70</v>
      </c>
      <c r="C119" s="6">
        <v>45138</v>
      </c>
      <c r="D119" s="64"/>
      <c r="E119" s="8" t="s">
        <v>395</v>
      </c>
      <c r="F119" s="8" t="s">
        <v>110</v>
      </c>
      <c r="G119" s="9" t="s">
        <v>25</v>
      </c>
      <c r="H119" s="44">
        <v>1</v>
      </c>
      <c r="I119" s="9">
        <v>25</v>
      </c>
      <c r="J119" s="9">
        <v>10</v>
      </c>
      <c r="K119" s="9">
        <f t="shared" si="2"/>
        <v>250</v>
      </c>
      <c r="L119" s="6">
        <v>45140</v>
      </c>
      <c r="M119" s="12" t="s">
        <v>396</v>
      </c>
      <c r="N119" s="20">
        <v>0</v>
      </c>
      <c r="O119" s="12" t="s">
        <v>397</v>
      </c>
      <c r="Q119" s="50"/>
      <c r="R119" s="50" t="s">
        <v>95</v>
      </c>
      <c r="S119" s="12"/>
    </row>
    <row r="120" s="8" customFormat="1" spans="1:19">
      <c r="A120" s="8" t="s">
        <v>33</v>
      </c>
      <c r="B120" s="8" t="s">
        <v>34</v>
      </c>
      <c r="C120" s="6">
        <v>45139</v>
      </c>
      <c r="D120" s="64"/>
      <c r="E120" s="8" t="s">
        <v>398</v>
      </c>
      <c r="F120" s="8" t="s">
        <v>48</v>
      </c>
      <c r="G120" s="9" t="s">
        <v>49</v>
      </c>
      <c r="H120" s="44"/>
      <c r="I120" s="9">
        <v>40</v>
      </c>
      <c r="J120" s="9">
        <v>100</v>
      </c>
      <c r="K120" s="9">
        <f t="shared" si="2"/>
        <v>4000</v>
      </c>
      <c r="L120" s="6">
        <v>45140</v>
      </c>
      <c r="M120" s="12" t="s">
        <v>396</v>
      </c>
      <c r="N120" s="20">
        <v>0</v>
      </c>
      <c r="O120" s="12" t="s">
        <v>399</v>
      </c>
      <c r="Q120" s="50"/>
      <c r="R120" s="50" t="s">
        <v>95</v>
      </c>
      <c r="S120" s="12"/>
    </row>
    <row r="121" s="8" customFormat="1" spans="1:19">
      <c r="A121" s="8" t="s">
        <v>33</v>
      </c>
      <c r="B121" s="8" t="s">
        <v>34</v>
      </c>
      <c r="C121" s="6">
        <v>45139</v>
      </c>
      <c r="D121" s="64"/>
      <c r="E121" s="8" t="s">
        <v>53</v>
      </c>
      <c r="F121" s="8" t="s">
        <v>54</v>
      </c>
      <c r="G121" s="9" t="s">
        <v>25</v>
      </c>
      <c r="H121" s="44">
        <v>1</v>
      </c>
      <c r="I121" s="9">
        <v>10</v>
      </c>
      <c r="J121" s="9">
        <v>250</v>
      </c>
      <c r="K121" s="9">
        <f t="shared" si="2"/>
        <v>2500</v>
      </c>
      <c r="L121" s="6">
        <v>45140</v>
      </c>
      <c r="M121" s="12" t="s">
        <v>400</v>
      </c>
      <c r="N121" s="20">
        <v>0</v>
      </c>
      <c r="O121" s="12" t="s">
        <v>401</v>
      </c>
      <c r="Q121" s="50"/>
      <c r="R121" s="50" t="s">
        <v>95</v>
      </c>
      <c r="S121" s="12"/>
    </row>
    <row r="122" s="8" customFormat="1" spans="1:19">
      <c r="A122" s="8" t="s">
        <v>33</v>
      </c>
      <c r="B122" s="8" t="s">
        <v>100</v>
      </c>
      <c r="C122" s="6">
        <v>45140</v>
      </c>
      <c r="D122" s="60" t="s">
        <v>402</v>
      </c>
      <c r="E122" s="8" t="s">
        <v>136</v>
      </c>
      <c r="F122" s="8" t="s">
        <v>54</v>
      </c>
      <c r="G122" s="9" t="s">
        <v>25</v>
      </c>
      <c r="H122" s="44">
        <v>1</v>
      </c>
      <c r="I122" s="9">
        <v>15</v>
      </c>
      <c r="J122" s="9">
        <v>20</v>
      </c>
      <c r="K122" s="9">
        <f t="shared" si="2"/>
        <v>300</v>
      </c>
      <c r="L122" s="6">
        <v>45142</v>
      </c>
      <c r="M122" s="60" t="s">
        <v>403</v>
      </c>
      <c r="N122" s="20">
        <v>0</v>
      </c>
      <c r="O122" s="12" t="s">
        <v>404</v>
      </c>
      <c r="Q122" s="50"/>
      <c r="R122" s="50" t="s">
        <v>95</v>
      </c>
      <c r="S122" s="12"/>
    </row>
    <row r="123" s="8" customFormat="1" spans="1:19">
      <c r="A123" s="8" t="s">
        <v>21</v>
      </c>
      <c r="B123" s="8" t="s">
        <v>22</v>
      </c>
      <c r="C123" s="6">
        <v>45141</v>
      </c>
      <c r="D123" s="64"/>
      <c r="E123" s="8" t="s">
        <v>343</v>
      </c>
      <c r="F123" s="8" t="s">
        <v>87</v>
      </c>
      <c r="G123" s="9" t="s">
        <v>25</v>
      </c>
      <c r="H123" s="44">
        <v>3</v>
      </c>
      <c r="I123" s="9">
        <v>44</v>
      </c>
      <c r="J123" s="9">
        <v>10</v>
      </c>
      <c r="K123" s="9">
        <f t="shared" si="2"/>
        <v>440</v>
      </c>
      <c r="L123" s="6">
        <v>45142</v>
      </c>
      <c r="M123" s="12" t="s">
        <v>405</v>
      </c>
      <c r="N123" s="20">
        <v>0</v>
      </c>
      <c r="O123" s="12" t="s">
        <v>406</v>
      </c>
      <c r="Q123" s="50"/>
      <c r="R123" s="50" t="s">
        <v>95</v>
      </c>
      <c r="S123" s="12"/>
    </row>
    <row r="124" s="8" customFormat="1" spans="1:19">
      <c r="A124" s="8" t="s">
        <v>28</v>
      </c>
      <c r="B124" s="8" t="s">
        <v>29</v>
      </c>
      <c r="C124" s="6">
        <v>45146</v>
      </c>
      <c r="D124" s="66"/>
      <c r="E124" s="8" t="s">
        <v>407</v>
      </c>
      <c r="F124" s="8" t="s">
        <v>54</v>
      </c>
      <c r="G124" s="9" t="s">
        <v>25</v>
      </c>
      <c r="H124" s="44">
        <v>1</v>
      </c>
      <c r="I124" s="9">
        <v>15</v>
      </c>
      <c r="J124" s="9">
        <v>1</v>
      </c>
      <c r="K124" s="9">
        <v>15</v>
      </c>
      <c r="L124" s="6">
        <v>45148</v>
      </c>
      <c r="M124" s="49" t="s">
        <v>408</v>
      </c>
      <c r="N124" s="20">
        <v>0</v>
      </c>
      <c r="O124" s="12" t="s">
        <v>409</v>
      </c>
      <c r="Q124" s="50"/>
      <c r="R124" s="50" t="s">
        <v>95</v>
      </c>
      <c r="S124" s="12"/>
    </row>
    <row r="125" s="8" customFormat="1" spans="1:19">
      <c r="A125" s="8" t="s">
        <v>21</v>
      </c>
      <c r="B125" s="8" t="s">
        <v>22</v>
      </c>
      <c r="C125" s="6">
        <v>45149</v>
      </c>
      <c r="D125" s="66"/>
      <c r="E125" s="8" t="s">
        <v>410</v>
      </c>
      <c r="F125" s="8" t="s">
        <v>54</v>
      </c>
      <c r="G125" s="9" t="s">
        <v>25</v>
      </c>
      <c r="H125" s="44">
        <v>1</v>
      </c>
      <c r="I125" s="9">
        <v>44</v>
      </c>
      <c r="J125" s="9">
        <v>1</v>
      </c>
      <c r="K125" s="9">
        <v>44</v>
      </c>
      <c r="L125" s="6"/>
      <c r="M125" s="12" t="s">
        <v>411</v>
      </c>
      <c r="N125" s="20">
        <v>0</v>
      </c>
      <c r="O125" s="12" t="s">
        <v>412</v>
      </c>
      <c r="Q125" s="50"/>
      <c r="R125" s="50" t="s">
        <v>95</v>
      </c>
      <c r="S125" s="12"/>
    </row>
    <row r="126" s="8" customFormat="1" spans="1:19">
      <c r="A126" s="8" t="s">
        <v>21</v>
      </c>
      <c r="B126" s="8" t="s">
        <v>22</v>
      </c>
      <c r="C126" s="6">
        <v>45149</v>
      </c>
      <c r="D126" s="66"/>
      <c r="E126" s="8" t="s">
        <v>413</v>
      </c>
      <c r="F126" s="8" t="s">
        <v>414</v>
      </c>
      <c r="G126" s="9" t="s">
        <v>25</v>
      </c>
      <c r="H126" s="44">
        <v>10</v>
      </c>
      <c r="I126" s="9">
        <v>65</v>
      </c>
      <c r="J126" s="9">
        <v>410</v>
      </c>
      <c r="K126" s="9">
        <f t="shared" ref="K126:K189" si="3">I126*J126</f>
        <v>26650</v>
      </c>
      <c r="L126" s="6">
        <v>45155</v>
      </c>
      <c r="M126" s="12" t="s">
        <v>415</v>
      </c>
      <c r="N126" s="20">
        <v>0</v>
      </c>
      <c r="O126" s="57" t="s">
        <v>416</v>
      </c>
      <c r="Q126" s="50"/>
      <c r="R126" s="50" t="s">
        <v>95</v>
      </c>
      <c r="S126" s="12"/>
    </row>
    <row r="127" s="8" customFormat="1" spans="1:19">
      <c r="A127" s="8" t="s">
        <v>33</v>
      </c>
      <c r="B127" s="8" t="s">
        <v>34</v>
      </c>
      <c r="C127" s="6">
        <v>45156</v>
      </c>
      <c r="D127" s="66"/>
      <c r="E127" s="8" t="s">
        <v>291</v>
      </c>
      <c r="F127" s="8" t="s">
        <v>54</v>
      </c>
      <c r="G127" s="9" t="s">
        <v>25</v>
      </c>
      <c r="H127" s="44">
        <v>1</v>
      </c>
      <c r="I127" s="9">
        <v>15</v>
      </c>
      <c r="J127" s="9">
        <v>60</v>
      </c>
      <c r="K127" s="9">
        <f t="shared" si="3"/>
        <v>900</v>
      </c>
      <c r="L127" s="6">
        <v>45156</v>
      </c>
      <c r="M127" s="12" t="s">
        <v>417</v>
      </c>
      <c r="N127" s="20">
        <v>0</v>
      </c>
      <c r="O127" s="57" t="s">
        <v>418</v>
      </c>
      <c r="Q127" s="50"/>
      <c r="R127" s="50" t="s">
        <v>95</v>
      </c>
      <c r="S127" s="12"/>
    </row>
    <row r="128" s="8" customFormat="1" spans="1:19">
      <c r="A128" s="8" t="s">
        <v>33</v>
      </c>
      <c r="B128" s="8" t="s">
        <v>100</v>
      </c>
      <c r="C128" s="6">
        <v>45159</v>
      </c>
      <c r="D128" s="66"/>
      <c r="E128" s="8" t="s">
        <v>136</v>
      </c>
      <c r="F128" s="8" t="s">
        <v>54</v>
      </c>
      <c r="G128" s="9" t="s">
        <v>25</v>
      </c>
      <c r="H128" s="44">
        <v>1</v>
      </c>
      <c r="I128" s="9">
        <v>15</v>
      </c>
      <c r="J128" s="9">
        <v>20</v>
      </c>
      <c r="K128" s="9">
        <f t="shared" si="3"/>
        <v>300</v>
      </c>
      <c r="L128" s="6">
        <v>45159</v>
      </c>
      <c r="M128" s="12" t="s">
        <v>419</v>
      </c>
      <c r="N128" s="20">
        <v>0</v>
      </c>
      <c r="O128" s="12" t="s">
        <v>420</v>
      </c>
      <c r="Q128" s="50"/>
      <c r="R128" s="50" t="s">
        <v>95</v>
      </c>
      <c r="S128" s="12"/>
    </row>
    <row r="129" s="8" customFormat="1" spans="1:19">
      <c r="A129" s="8" t="s">
        <v>33</v>
      </c>
      <c r="B129" s="8" t="s">
        <v>100</v>
      </c>
      <c r="C129" s="6">
        <v>45159</v>
      </c>
      <c r="D129" s="66"/>
      <c r="E129" s="8" t="s">
        <v>421</v>
      </c>
      <c r="F129" s="8" t="s">
        <v>54</v>
      </c>
      <c r="G129" s="9" t="s">
        <v>25</v>
      </c>
      <c r="H129" s="44">
        <v>1</v>
      </c>
      <c r="I129" s="9">
        <v>15</v>
      </c>
      <c r="J129" s="9">
        <v>1</v>
      </c>
      <c r="K129" s="9">
        <f t="shared" si="3"/>
        <v>15</v>
      </c>
      <c r="L129" s="6">
        <v>45159</v>
      </c>
      <c r="M129" s="12" t="s">
        <v>422</v>
      </c>
      <c r="N129" s="20">
        <v>0</v>
      </c>
      <c r="O129" s="12" t="s">
        <v>423</v>
      </c>
      <c r="Q129" s="50"/>
      <c r="R129" s="50" t="s">
        <v>95</v>
      </c>
      <c r="S129" s="12"/>
    </row>
    <row r="130" s="8" customFormat="1" spans="1:19">
      <c r="A130" s="8" t="s">
        <v>43</v>
      </c>
      <c r="B130" s="8" t="s">
        <v>44</v>
      </c>
      <c r="C130" s="6">
        <v>45159</v>
      </c>
      <c r="D130" s="66"/>
      <c r="E130" s="8" t="s">
        <v>424</v>
      </c>
      <c r="F130" s="8" t="s">
        <v>24</v>
      </c>
      <c r="G130" s="9" t="s">
        <v>25</v>
      </c>
      <c r="H130" s="44">
        <v>3</v>
      </c>
      <c r="I130" s="9">
        <v>60</v>
      </c>
      <c r="J130" s="9">
        <v>1</v>
      </c>
      <c r="K130" s="9">
        <f t="shared" si="3"/>
        <v>60</v>
      </c>
      <c r="L130" s="6">
        <v>45160</v>
      </c>
      <c r="M130" s="12" t="s">
        <v>425</v>
      </c>
      <c r="N130" s="20">
        <v>0</v>
      </c>
      <c r="O130" s="12" t="s">
        <v>426</v>
      </c>
      <c r="Q130" s="50"/>
      <c r="R130" s="50" t="s">
        <v>95</v>
      </c>
      <c r="S130" s="12"/>
    </row>
    <row r="131" s="8" customFormat="1" ht="43.5" spans="1:19">
      <c r="A131" s="8" t="s">
        <v>427</v>
      </c>
      <c r="B131" s="75" t="s">
        <v>428</v>
      </c>
      <c r="C131" s="6">
        <v>45160</v>
      </c>
      <c r="D131" s="64"/>
      <c r="E131" s="8" t="s">
        <v>429</v>
      </c>
      <c r="F131" s="8" t="s">
        <v>54</v>
      </c>
      <c r="G131" s="9" t="s">
        <v>25</v>
      </c>
      <c r="H131" s="9">
        <v>1</v>
      </c>
      <c r="I131" s="9">
        <v>20</v>
      </c>
      <c r="J131" s="9">
        <v>12</v>
      </c>
      <c r="K131" s="9">
        <f t="shared" si="3"/>
        <v>240</v>
      </c>
      <c r="L131" s="6">
        <v>45161</v>
      </c>
      <c r="M131" s="12" t="s">
        <v>430</v>
      </c>
      <c r="N131" s="20">
        <v>0</v>
      </c>
      <c r="O131" s="57" t="s">
        <v>431</v>
      </c>
      <c r="Q131" s="50"/>
      <c r="R131" s="50" t="s">
        <v>95</v>
      </c>
      <c r="S131" s="12"/>
    </row>
    <row r="132" s="8" customFormat="1" spans="1:19">
      <c r="A132" s="8" t="s">
        <v>28</v>
      </c>
      <c r="B132" s="8" t="s">
        <v>29</v>
      </c>
      <c r="C132" s="6">
        <v>45161</v>
      </c>
      <c r="D132" s="60"/>
      <c r="E132" s="8" t="s">
        <v>432</v>
      </c>
      <c r="F132" s="8" t="s">
        <v>54</v>
      </c>
      <c r="G132" s="9" t="s">
        <v>25</v>
      </c>
      <c r="H132" s="9">
        <v>1</v>
      </c>
      <c r="I132" s="9">
        <v>15</v>
      </c>
      <c r="J132" s="9">
        <v>1</v>
      </c>
      <c r="K132" s="9">
        <f t="shared" si="3"/>
        <v>15</v>
      </c>
      <c r="L132" s="6">
        <v>45161</v>
      </c>
      <c r="M132" s="12" t="s">
        <v>433</v>
      </c>
      <c r="N132" s="20">
        <v>0</v>
      </c>
      <c r="O132" s="12" t="s">
        <v>434</v>
      </c>
      <c r="Q132" s="50"/>
      <c r="R132" s="50" t="s">
        <v>95</v>
      </c>
      <c r="S132" s="12"/>
    </row>
    <row r="133" s="8" customFormat="1" spans="1:19">
      <c r="A133" s="8" t="s">
        <v>21</v>
      </c>
      <c r="B133" s="8" t="s">
        <v>22</v>
      </c>
      <c r="C133" s="6">
        <v>45163</v>
      </c>
      <c r="D133" s="60"/>
      <c r="E133" s="78" t="s">
        <v>435</v>
      </c>
      <c r="F133" s="8" t="s">
        <v>24</v>
      </c>
      <c r="G133" s="9" t="s">
        <v>25</v>
      </c>
      <c r="H133" s="9">
        <v>3</v>
      </c>
      <c r="I133" s="9">
        <v>44</v>
      </c>
      <c r="J133" s="9">
        <v>15</v>
      </c>
      <c r="K133" s="9">
        <f t="shared" si="3"/>
        <v>660</v>
      </c>
      <c r="L133" s="6">
        <v>45163</v>
      </c>
      <c r="M133" s="12" t="s">
        <v>436</v>
      </c>
      <c r="N133" s="20">
        <v>0</v>
      </c>
      <c r="O133" s="12" t="s">
        <v>437</v>
      </c>
      <c r="Q133" s="50"/>
      <c r="R133" s="50" t="s">
        <v>95</v>
      </c>
      <c r="S133" s="12"/>
    </row>
    <row r="134" s="8" customFormat="1" spans="1:19">
      <c r="A134" s="8" t="s">
        <v>21</v>
      </c>
      <c r="B134" s="8" t="s">
        <v>22</v>
      </c>
      <c r="C134" s="6">
        <v>45163</v>
      </c>
      <c r="D134" s="60"/>
      <c r="E134" s="8" t="s">
        <v>438</v>
      </c>
      <c r="F134" s="8" t="s">
        <v>54</v>
      </c>
      <c r="G134" s="9" t="s">
        <v>25</v>
      </c>
      <c r="H134" s="9">
        <v>1</v>
      </c>
      <c r="I134" s="9">
        <v>18</v>
      </c>
      <c r="J134" s="9">
        <v>1</v>
      </c>
      <c r="K134" s="9">
        <f t="shared" si="3"/>
        <v>18</v>
      </c>
      <c r="L134" s="6">
        <v>45163</v>
      </c>
      <c r="M134" s="12" t="s">
        <v>439</v>
      </c>
      <c r="N134" s="20">
        <v>0</v>
      </c>
      <c r="O134" s="57" t="s">
        <v>440</v>
      </c>
      <c r="Q134" s="50"/>
      <c r="R134" s="50" t="s">
        <v>95</v>
      </c>
      <c r="S134" s="12"/>
    </row>
    <row r="135" s="8" customFormat="1" spans="1:19">
      <c r="A135" s="8" t="s">
        <v>33</v>
      </c>
      <c r="B135" s="8" t="s">
        <v>34</v>
      </c>
      <c r="C135" s="6">
        <v>45166</v>
      </c>
      <c r="D135" s="60"/>
      <c r="E135" s="8" t="s">
        <v>441</v>
      </c>
      <c r="F135" s="8" t="s">
        <v>48</v>
      </c>
      <c r="G135" s="9" t="s">
        <v>49</v>
      </c>
      <c r="H135" s="9"/>
      <c r="I135" s="9">
        <v>50</v>
      </c>
      <c r="J135" s="9">
        <v>10</v>
      </c>
      <c r="K135" s="9">
        <f t="shared" si="3"/>
        <v>500</v>
      </c>
      <c r="L135" s="6">
        <v>45167</v>
      </c>
      <c r="M135" s="12" t="s">
        <v>442</v>
      </c>
      <c r="N135" s="20">
        <v>0</v>
      </c>
      <c r="O135" s="12" t="s">
        <v>443</v>
      </c>
      <c r="Q135" s="50"/>
      <c r="R135" s="50" t="s">
        <v>95</v>
      </c>
      <c r="S135" s="12"/>
    </row>
    <row r="136" s="8" customFormat="1" spans="1:19">
      <c r="A136" s="8" t="s">
        <v>33</v>
      </c>
      <c r="B136" s="8" t="s">
        <v>100</v>
      </c>
      <c r="C136" s="6">
        <v>45162</v>
      </c>
      <c r="D136" s="60"/>
      <c r="E136" s="8" t="s">
        <v>444</v>
      </c>
      <c r="F136" s="8" t="s">
        <v>54</v>
      </c>
      <c r="G136" s="9" t="s">
        <v>25</v>
      </c>
      <c r="H136" s="9">
        <v>1</v>
      </c>
      <c r="I136" s="9">
        <v>15</v>
      </c>
      <c r="J136" s="9">
        <v>20</v>
      </c>
      <c r="K136" s="9">
        <f t="shared" si="3"/>
        <v>300</v>
      </c>
      <c r="L136" s="6">
        <v>45167</v>
      </c>
      <c r="M136" s="12" t="s">
        <v>445</v>
      </c>
      <c r="N136" s="20">
        <v>0</v>
      </c>
      <c r="O136" s="12" t="s">
        <v>446</v>
      </c>
      <c r="Q136" s="50"/>
      <c r="R136" s="50" t="s">
        <v>95</v>
      </c>
      <c r="S136" s="12"/>
    </row>
    <row r="137" s="8" customFormat="1" spans="1:19">
      <c r="A137" s="8" t="s">
        <v>33</v>
      </c>
      <c r="B137" s="8" t="s">
        <v>100</v>
      </c>
      <c r="C137" s="6">
        <v>45162</v>
      </c>
      <c r="D137" s="60"/>
      <c r="E137" s="8" t="s">
        <v>444</v>
      </c>
      <c r="F137" s="8" t="s">
        <v>54</v>
      </c>
      <c r="G137" s="9" t="s">
        <v>25</v>
      </c>
      <c r="H137" s="9">
        <v>1</v>
      </c>
      <c r="I137" s="9">
        <v>15</v>
      </c>
      <c r="J137" s="9">
        <v>100</v>
      </c>
      <c r="K137" s="9">
        <f t="shared" si="3"/>
        <v>1500</v>
      </c>
      <c r="L137" s="6">
        <v>45167</v>
      </c>
      <c r="M137" s="12" t="s">
        <v>447</v>
      </c>
      <c r="N137" s="20">
        <v>0</v>
      </c>
      <c r="O137" s="12" t="s">
        <v>446</v>
      </c>
      <c r="Q137" s="50"/>
      <c r="R137" s="50" t="s">
        <v>95</v>
      </c>
      <c r="S137" s="12"/>
    </row>
    <row r="138" s="8" customFormat="1" spans="1:19">
      <c r="A138" s="8" t="s">
        <v>33</v>
      </c>
      <c r="B138" s="8" t="s">
        <v>44</v>
      </c>
      <c r="C138" s="6">
        <v>45166</v>
      </c>
      <c r="D138" s="60"/>
      <c r="E138" s="8" t="s">
        <v>448</v>
      </c>
      <c r="F138" s="8" t="s">
        <v>54</v>
      </c>
      <c r="G138" s="9" t="s">
        <v>25</v>
      </c>
      <c r="H138" s="9">
        <v>1</v>
      </c>
      <c r="I138" s="9">
        <v>25</v>
      </c>
      <c r="J138" s="9">
        <v>1</v>
      </c>
      <c r="K138" s="9">
        <f t="shared" si="3"/>
        <v>25</v>
      </c>
      <c r="L138" s="6">
        <v>45167</v>
      </c>
      <c r="M138" s="12" t="s">
        <v>449</v>
      </c>
      <c r="N138" s="20">
        <v>0</v>
      </c>
      <c r="O138" s="57" t="s">
        <v>450</v>
      </c>
      <c r="Q138" s="50"/>
      <c r="R138" s="50" t="s">
        <v>95</v>
      </c>
      <c r="S138" s="12"/>
    </row>
    <row r="139" s="8" customFormat="1" spans="1:19">
      <c r="A139" s="8" t="s">
        <v>28</v>
      </c>
      <c r="B139" s="8" t="s">
        <v>328</v>
      </c>
      <c r="C139" s="6">
        <v>45167</v>
      </c>
      <c r="D139" s="60"/>
      <c r="E139" s="8" t="s">
        <v>451</v>
      </c>
      <c r="F139" s="8" t="s">
        <v>54</v>
      </c>
      <c r="G139" s="9" t="s">
        <v>25</v>
      </c>
      <c r="H139" s="9">
        <v>1</v>
      </c>
      <c r="I139" s="9">
        <v>22</v>
      </c>
      <c r="J139" s="9">
        <v>2</v>
      </c>
      <c r="K139" s="9">
        <f t="shared" si="3"/>
        <v>44</v>
      </c>
      <c r="L139" s="6">
        <v>45167</v>
      </c>
      <c r="M139" s="12" t="s">
        <v>452</v>
      </c>
      <c r="N139" s="20">
        <v>0</v>
      </c>
      <c r="O139" s="12" t="s">
        <v>453</v>
      </c>
      <c r="Q139" s="50"/>
      <c r="R139" s="50" t="s">
        <v>95</v>
      </c>
      <c r="S139" s="12"/>
    </row>
    <row r="140" s="8" customFormat="1" spans="1:19">
      <c r="A140" s="8" t="s">
        <v>28</v>
      </c>
      <c r="B140" s="8" t="s">
        <v>29</v>
      </c>
      <c r="C140" s="6">
        <v>45169</v>
      </c>
      <c r="D140" s="60"/>
      <c r="E140" s="8" t="s">
        <v>432</v>
      </c>
      <c r="F140" s="8" t="s">
        <v>54</v>
      </c>
      <c r="G140" s="9" t="s">
        <v>25</v>
      </c>
      <c r="H140" s="9">
        <v>1</v>
      </c>
      <c r="I140" s="9">
        <v>15</v>
      </c>
      <c r="J140" s="9">
        <v>1</v>
      </c>
      <c r="K140" s="9">
        <f t="shared" si="3"/>
        <v>15</v>
      </c>
      <c r="L140" s="6">
        <v>45170</v>
      </c>
      <c r="M140" s="12" t="s">
        <v>454</v>
      </c>
      <c r="N140" s="20">
        <v>0</v>
      </c>
      <c r="O140" s="57" t="s">
        <v>455</v>
      </c>
      <c r="Q140" s="50"/>
      <c r="R140" s="50" t="s">
        <v>95</v>
      </c>
      <c r="S140" s="12"/>
    </row>
    <row r="141" s="8" customFormat="1" spans="1:19">
      <c r="A141" s="8" t="s">
        <v>28</v>
      </c>
      <c r="B141" s="8" t="s">
        <v>29</v>
      </c>
      <c r="C141" s="6">
        <v>45170</v>
      </c>
      <c r="D141" s="60"/>
      <c r="E141" s="8" t="s">
        <v>307</v>
      </c>
      <c r="F141" s="8" t="s">
        <v>110</v>
      </c>
      <c r="G141" s="9" t="s">
        <v>25</v>
      </c>
      <c r="H141" s="9" t="s">
        <v>456</v>
      </c>
      <c r="I141" s="9">
        <v>12.5</v>
      </c>
      <c r="J141" s="9">
        <v>17</v>
      </c>
      <c r="K141" s="9">
        <f t="shared" si="3"/>
        <v>212.5</v>
      </c>
      <c r="L141" s="6">
        <v>45175</v>
      </c>
      <c r="M141" s="12" t="s">
        <v>457</v>
      </c>
      <c r="N141" s="20">
        <v>0</v>
      </c>
      <c r="O141" s="12" t="s">
        <v>458</v>
      </c>
      <c r="Q141" s="50"/>
      <c r="R141" s="50" t="s">
        <v>95</v>
      </c>
      <c r="S141" s="12"/>
    </row>
    <row r="142" s="8" customFormat="1" spans="1:19">
      <c r="A142" s="8" t="s">
        <v>28</v>
      </c>
      <c r="B142" s="8" t="s">
        <v>29</v>
      </c>
      <c r="C142" s="6">
        <v>45173</v>
      </c>
      <c r="D142" s="60"/>
      <c r="E142" s="8" t="s">
        <v>283</v>
      </c>
      <c r="F142" s="8" t="s">
        <v>54</v>
      </c>
      <c r="G142" s="9" t="s">
        <v>25</v>
      </c>
      <c r="H142" s="9">
        <v>1</v>
      </c>
      <c r="I142" s="9">
        <v>15</v>
      </c>
      <c r="J142" s="9">
        <v>1</v>
      </c>
      <c r="K142" s="9">
        <f t="shared" si="3"/>
        <v>15</v>
      </c>
      <c r="L142" s="6">
        <v>45175</v>
      </c>
      <c r="M142" s="12" t="s">
        <v>459</v>
      </c>
      <c r="N142" s="20">
        <v>0</v>
      </c>
      <c r="O142" s="12" t="s">
        <v>460</v>
      </c>
      <c r="Q142" s="50"/>
      <c r="R142" s="50" t="s">
        <v>95</v>
      </c>
      <c r="S142" s="12"/>
    </row>
    <row r="143" s="8" customFormat="1" spans="1:19">
      <c r="A143" s="8" t="s">
        <v>51</v>
      </c>
      <c r="B143" s="8" t="s">
        <v>118</v>
      </c>
      <c r="C143" s="6">
        <v>45174</v>
      </c>
      <c r="D143" s="60"/>
      <c r="E143" s="8" t="s">
        <v>461</v>
      </c>
      <c r="F143" s="8" t="s">
        <v>48</v>
      </c>
      <c r="G143" s="9" t="s">
        <v>49</v>
      </c>
      <c r="H143" s="9"/>
      <c r="I143" s="9">
        <v>40</v>
      </c>
      <c r="J143" s="9">
        <v>300</v>
      </c>
      <c r="K143" s="9">
        <f t="shared" si="3"/>
        <v>12000</v>
      </c>
      <c r="L143" s="6">
        <v>45175</v>
      </c>
      <c r="M143" s="12" t="s">
        <v>462</v>
      </c>
      <c r="N143" s="20">
        <v>0</v>
      </c>
      <c r="O143" s="12" t="s">
        <v>463</v>
      </c>
      <c r="Q143" s="50"/>
      <c r="R143" s="50" t="s">
        <v>95</v>
      </c>
      <c r="S143" s="12"/>
    </row>
    <row r="144" s="8" customFormat="1" spans="1:19">
      <c r="A144" s="8" t="s">
        <v>43</v>
      </c>
      <c r="B144" s="41" t="s">
        <v>70</v>
      </c>
      <c r="C144" s="6">
        <v>45176</v>
      </c>
      <c r="D144" s="60"/>
      <c r="E144" s="8" t="s">
        <v>346</v>
      </c>
      <c r="F144" s="8" t="s">
        <v>48</v>
      </c>
      <c r="G144" s="9" t="s">
        <v>49</v>
      </c>
      <c r="H144" s="9"/>
      <c r="I144" s="9">
        <v>50</v>
      </c>
      <c r="J144" s="9">
        <v>15</v>
      </c>
      <c r="K144" s="9">
        <f t="shared" si="3"/>
        <v>750</v>
      </c>
      <c r="L144" s="6">
        <v>45181</v>
      </c>
      <c r="M144" s="12" t="s">
        <v>464</v>
      </c>
      <c r="N144" s="20">
        <v>0</v>
      </c>
      <c r="O144" s="57" t="s">
        <v>465</v>
      </c>
      <c r="Q144" s="50"/>
      <c r="R144" s="50" t="s">
        <v>95</v>
      </c>
      <c r="S144" s="12"/>
    </row>
    <row r="145" s="8" customFormat="1" spans="1:19">
      <c r="A145" s="8" t="s">
        <v>33</v>
      </c>
      <c r="B145" s="8" t="s">
        <v>34</v>
      </c>
      <c r="C145" s="6">
        <v>45176</v>
      </c>
      <c r="D145" s="60"/>
      <c r="E145" s="8" t="s">
        <v>221</v>
      </c>
      <c r="F145" s="8" t="s">
        <v>54</v>
      </c>
      <c r="G145" s="9" t="s">
        <v>25</v>
      </c>
      <c r="H145" s="9">
        <v>1</v>
      </c>
      <c r="I145" s="9">
        <v>12</v>
      </c>
      <c r="J145" s="9">
        <v>530</v>
      </c>
      <c r="K145" s="9">
        <f t="shared" si="3"/>
        <v>6360</v>
      </c>
      <c r="L145" s="6">
        <v>45181</v>
      </c>
      <c r="M145" s="12" t="s">
        <v>464</v>
      </c>
      <c r="N145" s="20">
        <v>0</v>
      </c>
      <c r="O145" s="12" t="s">
        <v>466</v>
      </c>
      <c r="Q145" s="50"/>
      <c r="R145" s="50" t="s">
        <v>95</v>
      </c>
      <c r="S145" s="12"/>
    </row>
    <row r="146" s="8" customFormat="1" spans="1:19">
      <c r="A146" s="8" t="s">
        <v>28</v>
      </c>
      <c r="B146" s="8" t="s">
        <v>29</v>
      </c>
      <c r="C146" s="6">
        <v>45177</v>
      </c>
      <c r="D146" s="60"/>
      <c r="E146" s="8" t="s">
        <v>283</v>
      </c>
      <c r="F146" s="8" t="s">
        <v>54</v>
      </c>
      <c r="G146" s="9" t="s">
        <v>25</v>
      </c>
      <c r="H146" s="9">
        <v>1</v>
      </c>
      <c r="I146" s="9">
        <v>15</v>
      </c>
      <c r="J146" s="9">
        <v>1</v>
      </c>
      <c r="K146" s="9">
        <f t="shared" si="3"/>
        <v>15</v>
      </c>
      <c r="L146" s="6">
        <v>45181</v>
      </c>
      <c r="M146" s="12" t="s">
        <v>467</v>
      </c>
      <c r="N146" s="20">
        <v>0</v>
      </c>
      <c r="O146" s="12" t="s">
        <v>468</v>
      </c>
      <c r="Q146" s="50"/>
      <c r="R146" s="50" t="s">
        <v>95</v>
      </c>
      <c r="S146" s="12"/>
    </row>
    <row r="147" s="8" customFormat="1" spans="1:19">
      <c r="A147" s="8" t="s">
        <v>43</v>
      </c>
      <c r="B147" s="65" t="s">
        <v>44</v>
      </c>
      <c r="C147" s="6">
        <v>45181</v>
      </c>
      <c r="D147" s="60"/>
      <c r="E147" s="8" t="s">
        <v>469</v>
      </c>
      <c r="F147" s="8" t="s">
        <v>110</v>
      </c>
      <c r="G147" s="9" t="s">
        <v>25</v>
      </c>
      <c r="H147" s="9">
        <v>1</v>
      </c>
      <c r="I147" s="9">
        <v>25</v>
      </c>
      <c r="J147" s="9">
        <v>6</v>
      </c>
      <c r="K147" s="9">
        <f t="shared" si="3"/>
        <v>150</v>
      </c>
      <c r="L147" s="6">
        <v>45181</v>
      </c>
      <c r="M147" s="12" t="s">
        <v>470</v>
      </c>
      <c r="N147" s="20">
        <v>0</v>
      </c>
      <c r="O147" s="12"/>
      <c r="Q147" s="50"/>
      <c r="R147" s="50" t="s">
        <v>95</v>
      </c>
      <c r="S147" s="12"/>
    </row>
    <row r="148" s="8" customFormat="1" spans="1:19">
      <c r="A148" s="8" t="s">
        <v>33</v>
      </c>
      <c r="B148" s="8" t="s">
        <v>100</v>
      </c>
      <c r="C148" s="6">
        <v>45189</v>
      </c>
      <c r="D148" s="60"/>
      <c r="E148" s="8" t="s">
        <v>136</v>
      </c>
      <c r="F148" s="8" t="s">
        <v>54</v>
      </c>
      <c r="G148" s="9" t="s">
        <v>25</v>
      </c>
      <c r="H148" s="9">
        <v>1</v>
      </c>
      <c r="I148" s="9">
        <v>15</v>
      </c>
      <c r="J148" s="9">
        <v>20</v>
      </c>
      <c r="K148" s="9">
        <f t="shared" si="3"/>
        <v>300</v>
      </c>
      <c r="L148" s="6">
        <v>45190</v>
      </c>
      <c r="M148" s="12" t="s">
        <v>471</v>
      </c>
      <c r="N148" s="20">
        <v>0</v>
      </c>
      <c r="O148" s="12" t="s">
        <v>472</v>
      </c>
      <c r="Q148" s="50"/>
      <c r="R148" s="50" t="s">
        <v>95</v>
      </c>
      <c r="S148" s="12"/>
    </row>
    <row r="149" s="8" customFormat="1" spans="1:19">
      <c r="A149" s="8" t="s">
        <v>473</v>
      </c>
      <c r="B149" s="8" t="s">
        <v>108</v>
      </c>
      <c r="C149" s="6">
        <v>45190</v>
      </c>
      <c r="D149" s="60"/>
      <c r="E149" s="8" t="s">
        <v>474</v>
      </c>
      <c r="F149" s="41" t="s">
        <v>31</v>
      </c>
      <c r="G149" s="9" t="s">
        <v>25</v>
      </c>
      <c r="H149" s="9">
        <v>1</v>
      </c>
      <c r="I149" s="9">
        <v>29</v>
      </c>
      <c r="J149" s="9">
        <v>50</v>
      </c>
      <c r="K149" s="9">
        <f t="shared" si="3"/>
        <v>1450</v>
      </c>
      <c r="L149" s="6">
        <v>45194</v>
      </c>
      <c r="M149" s="12" t="s">
        <v>475</v>
      </c>
      <c r="N149" s="20">
        <v>0</v>
      </c>
      <c r="O149" s="12"/>
      <c r="Q149" s="50"/>
      <c r="R149" s="50" t="s">
        <v>95</v>
      </c>
      <c r="S149" s="12"/>
    </row>
    <row r="150" s="8" customFormat="1" spans="1:19">
      <c r="A150" s="8" t="s">
        <v>51</v>
      </c>
      <c r="B150" s="8" t="s">
        <v>476</v>
      </c>
      <c r="C150" s="6">
        <v>45190</v>
      </c>
      <c r="D150" s="60"/>
      <c r="E150" s="8" t="s">
        <v>63</v>
      </c>
      <c r="F150" s="8" t="s">
        <v>54</v>
      </c>
      <c r="G150" s="9" t="s">
        <v>25</v>
      </c>
      <c r="H150" s="9">
        <v>1</v>
      </c>
      <c r="I150" s="9">
        <v>8</v>
      </c>
      <c r="J150" s="9">
        <v>200</v>
      </c>
      <c r="K150" s="9">
        <f t="shared" si="3"/>
        <v>1600</v>
      </c>
      <c r="L150" s="6">
        <v>45194</v>
      </c>
      <c r="M150" s="12" t="s">
        <v>477</v>
      </c>
      <c r="N150" s="20">
        <v>0</v>
      </c>
      <c r="O150" s="12"/>
      <c r="Q150" s="50"/>
      <c r="R150" s="50" t="s">
        <v>95</v>
      </c>
      <c r="S150" s="12"/>
    </row>
    <row r="151" s="8" customFormat="1" spans="1:19">
      <c r="A151" s="8" t="s">
        <v>21</v>
      </c>
      <c r="B151" s="8" t="s">
        <v>22</v>
      </c>
      <c r="C151" s="6">
        <v>45194</v>
      </c>
      <c r="D151" s="60"/>
      <c r="E151" s="8" t="s">
        <v>478</v>
      </c>
      <c r="F151" s="41" t="s">
        <v>31</v>
      </c>
      <c r="G151" s="9" t="s">
        <v>25</v>
      </c>
      <c r="H151" s="9">
        <v>1</v>
      </c>
      <c r="I151" s="9">
        <v>18</v>
      </c>
      <c r="J151" s="9">
        <v>38</v>
      </c>
      <c r="K151" s="9">
        <f t="shared" si="3"/>
        <v>684</v>
      </c>
      <c r="L151" s="6">
        <v>45195</v>
      </c>
      <c r="M151" s="12" t="s">
        <v>479</v>
      </c>
      <c r="N151" s="20">
        <v>0</v>
      </c>
      <c r="O151" s="57" t="s">
        <v>480</v>
      </c>
      <c r="Q151" s="50"/>
      <c r="R151" s="50" t="s">
        <v>95</v>
      </c>
      <c r="S151" s="51" t="s">
        <v>481</v>
      </c>
    </row>
    <row r="152" s="8" customFormat="1" spans="1:19">
      <c r="A152" s="8" t="s">
        <v>33</v>
      </c>
      <c r="B152" s="8" t="s">
        <v>100</v>
      </c>
      <c r="C152" s="6">
        <v>45191</v>
      </c>
      <c r="D152" s="60"/>
      <c r="E152" s="8" t="s">
        <v>136</v>
      </c>
      <c r="F152" s="8" t="s">
        <v>54</v>
      </c>
      <c r="G152" s="9" t="s">
        <v>25</v>
      </c>
      <c r="H152" s="9">
        <v>1</v>
      </c>
      <c r="I152" s="9">
        <v>15</v>
      </c>
      <c r="J152" s="9">
        <v>20</v>
      </c>
      <c r="K152" s="9">
        <f t="shared" si="3"/>
        <v>300</v>
      </c>
      <c r="L152" s="6">
        <v>45195</v>
      </c>
      <c r="M152" s="12" t="s">
        <v>482</v>
      </c>
      <c r="N152" s="20">
        <v>0</v>
      </c>
      <c r="O152" s="12" t="s">
        <v>483</v>
      </c>
      <c r="Q152" s="50"/>
      <c r="R152" s="50" t="s">
        <v>95</v>
      </c>
      <c r="S152" s="12"/>
    </row>
    <row r="153" s="8" customFormat="1" spans="1:19">
      <c r="A153" s="8" t="s">
        <v>33</v>
      </c>
      <c r="B153" s="8" t="s">
        <v>100</v>
      </c>
      <c r="C153" s="6">
        <v>45194</v>
      </c>
      <c r="D153" s="60"/>
      <c r="E153" s="8" t="s">
        <v>136</v>
      </c>
      <c r="F153" s="8" t="s">
        <v>54</v>
      </c>
      <c r="G153" s="9" t="s">
        <v>25</v>
      </c>
      <c r="H153" s="9">
        <v>1</v>
      </c>
      <c r="I153" s="9">
        <v>15</v>
      </c>
      <c r="J153" s="9">
        <v>20</v>
      </c>
      <c r="K153" s="9">
        <f t="shared" si="3"/>
        <v>300</v>
      </c>
      <c r="L153" s="6">
        <v>45195</v>
      </c>
      <c r="M153" s="12" t="s">
        <v>484</v>
      </c>
      <c r="N153" s="20">
        <v>0</v>
      </c>
      <c r="O153" s="12" t="s">
        <v>485</v>
      </c>
      <c r="Q153" s="50"/>
      <c r="R153" s="50" t="s">
        <v>95</v>
      </c>
      <c r="S153" s="12"/>
    </row>
    <row r="154" s="8" customFormat="1" spans="1:19">
      <c r="A154" s="8" t="s">
        <v>33</v>
      </c>
      <c r="B154" s="8" t="s">
        <v>100</v>
      </c>
      <c r="C154" s="6">
        <v>45197</v>
      </c>
      <c r="D154" s="60"/>
      <c r="E154" s="8" t="s">
        <v>486</v>
      </c>
      <c r="F154" s="8" t="s">
        <v>54</v>
      </c>
      <c r="G154" s="9" t="s">
        <v>25</v>
      </c>
      <c r="H154" s="9">
        <v>1</v>
      </c>
      <c r="I154" s="9">
        <v>7.5</v>
      </c>
      <c r="J154" s="9">
        <v>100</v>
      </c>
      <c r="K154" s="9">
        <f t="shared" si="3"/>
        <v>750</v>
      </c>
      <c r="L154" s="6">
        <v>45211</v>
      </c>
      <c r="M154" s="12" t="s">
        <v>487</v>
      </c>
      <c r="N154" s="20">
        <v>0</v>
      </c>
      <c r="O154" s="12" t="s">
        <v>488</v>
      </c>
      <c r="Q154" s="50"/>
      <c r="R154" s="50" t="s">
        <v>95</v>
      </c>
      <c r="S154" s="12"/>
    </row>
    <row r="155" s="8" customFormat="1" spans="1:19">
      <c r="A155" s="8" t="s">
        <v>28</v>
      </c>
      <c r="B155" s="8" t="s">
        <v>29</v>
      </c>
      <c r="C155" s="6">
        <v>45180</v>
      </c>
      <c r="D155" s="60"/>
      <c r="E155" s="8" t="s">
        <v>489</v>
      </c>
      <c r="F155" s="8" t="s">
        <v>110</v>
      </c>
      <c r="G155" s="9" t="s">
        <v>25</v>
      </c>
      <c r="H155" s="9">
        <v>1</v>
      </c>
      <c r="I155" s="9">
        <v>15</v>
      </c>
      <c r="J155" s="9">
        <v>25</v>
      </c>
      <c r="K155" s="9">
        <f t="shared" si="3"/>
        <v>375</v>
      </c>
      <c r="L155" s="6">
        <v>45211</v>
      </c>
      <c r="M155" s="12" t="s">
        <v>490</v>
      </c>
      <c r="N155" s="20">
        <v>0</v>
      </c>
      <c r="O155" s="12"/>
      <c r="Q155" s="50"/>
      <c r="R155" s="50" t="s">
        <v>95</v>
      </c>
      <c r="S155" s="12"/>
    </row>
    <row r="156" s="8" customFormat="1" spans="1:19">
      <c r="A156" s="8" t="s">
        <v>28</v>
      </c>
      <c r="B156" s="8" t="s">
        <v>29</v>
      </c>
      <c r="C156" s="6">
        <v>45187</v>
      </c>
      <c r="D156" s="60"/>
      <c r="E156" s="8" t="s">
        <v>385</v>
      </c>
      <c r="F156" s="8" t="s">
        <v>110</v>
      </c>
      <c r="G156" s="9" t="s">
        <v>25</v>
      </c>
      <c r="H156" s="9">
        <v>1</v>
      </c>
      <c r="I156" s="9">
        <v>15</v>
      </c>
      <c r="J156" s="9">
        <v>5</v>
      </c>
      <c r="K156" s="9">
        <f t="shared" si="3"/>
        <v>75</v>
      </c>
      <c r="L156" s="6">
        <v>45211</v>
      </c>
      <c r="M156" s="12" t="s">
        <v>490</v>
      </c>
      <c r="N156" s="20">
        <v>0</v>
      </c>
      <c r="O156" s="12"/>
      <c r="Q156" s="50"/>
      <c r="R156" s="50" t="s">
        <v>95</v>
      </c>
      <c r="S156" s="12">
        <v>604940469</v>
      </c>
    </row>
    <row r="157" s="8" customFormat="1" spans="1:19">
      <c r="A157" s="8" t="s">
        <v>43</v>
      </c>
      <c r="B157" s="41" t="s">
        <v>70</v>
      </c>
      <c r="C157" s="6">
        <v>45206</v>
      </c>
      <c r="D157" s="60"/>
      <c r="E157" s="8" t="s">
        <v>491</v>
      </c>
      <c r="F157" s="41" t="s">
        <v>31</v>
      </c>
      <c r="G157" s="9" t="s">
        <v>25</v>
      </c>
      <c r="H157" s="9">
        <v>1</v>
      </c>
      <c r="I157" s="9">
        <v>15</v>
      </c>
      <c r="J157" s="9">
        <v>8</v>
      </c>
      <c r="K157" s="9">
        <f t="shared" si="3"/>
        <v>120</v>
      </c>
      <c r="L157" s="6">
        <v>45211</v>
      </c>
      <c r="M157" s="12" t="s">
        <v>492</v>
      </c>
      <c r="N157" s="20">
        <v>0</v>
      </c>
      <c r="O157" s="12" t="s">
        <v>493</v>
      </c>
      <c r="Q157" s="50"/>
      <c r="R157" s="50" t="s">
        <v>95</v>
      </c>
      <c r="S157" s="12"/>
    </row>
    <row r="158" s="8" customFormat="1" spans="1:19">
      <c r="A158" s="8" t="s">
        <v>33</v>
      </c>
      <c r="B158" s="8" t="s">
        <v>100</v>
      </c>
      <c r="C158" s="6">
        <v>45207</v>
      </c>
      <c r="D158" s="60"/>
      <c r="E158" s="65" t="s">
        <v>494</v>
      </c>
      <c r="F158" s="8" t="s">
        <v>48</v>
      </c>
      <c r="G158" s="9" t="s">
        <v>49</v>
      </c>
      <c r="H158" s="9"/>
      <c r="I158" s="9">
        <v>50</v>
      </c>
      <c r="J158" s="9">
        <v>18</v>
      </c>
      <c r="K158" s="9">
        <f t="shared" si="3"/>
        <v>900</v>
      </c>
      <c r="L158" s="6">
        <v>45211</v>
      </c>
      <c r="M158" s="12" t="s">
        <v>495</v>
      </c>
      <c r="N158" s="20">
        <v>0</v>
      </c>
      <c r="O158" s="12" t="s">
        <v>496</v>
      </c>
      <c r="S158" s="12"/>
    </row>
    <row r="159" s="8" customFormat="1" spans="1:19">
      <c r="A159" s="8" t="s">
        <v>33</v>
      </c>
      <c r="B159" s="8" t="s">
        <v>100</v>
      </c>
      <c r="C159" s="6">
        <v>45207</v>
      </c>
      <c r="D159" s="60"/>
      <c r="E159" s="8" t="s">
        <v>497</v>
      </c>
      <c r="F159" s="8" t="s">
        <v>155</v>
      </c>
      <c r="G159" s="9" t="s">
        <v>25</v>
      </c>
      <c r="H159" s="9">
        <v>5</v>
      </c>
      <c r="I159" s="9">
        <v>60</v>
      </c>
      <c r="J159" s="9">
        <v>25</v>
      </c>
      <c r="K159" s="9">
        <f t="shared" si="3"/>
        <v>1500</v>
      </c>
      <c r="L159" s="6">
        <v>45211</v>
      </c>
      <c r="M159" s="12" t="s">
        <v>498</v>
      </c>
      <c r="N159" s="20">
        <v>0</v>
      </c>
      <c r="O159" s="12" t="s">
        <v>499</v>
      </c>
      <c r="P159" s="8" t="s">
        <v>500</v>
      </c>
      <c r="S159" s="12"/>
    </row>
    <row r="160" s="8" customFormat="1" spans="1:19">
      <c r="A160" s="8" t="s">
        <v>501</v>
      </c>
      <c r="B160" s="8" t="s">
        <v>502</v>
      </c>
      <c r="C160" s="6">
        <v>45207</v>
      </c>
      <c r="D160" s="60"/>
      <c r="E160" s="8" t="s">
        <v>503</v>
      </c>
      <c r="F160" s="8" t="s">
        <v>31</v>
      </c>
      <c r="G160" s="9" t="s">
        <v>25</v>
      </c>
      <c r="H160" s="9">
        <v>1</v>
      </c>
      <c r="I160" s="9">
        <v>25</v>
      </c>
      <c r="J160" s="9">
        <v>25</v>
      </c>
      <c r="K160" s="9">
        <f t="shared" si="3"/>
        <v>625</v>
      </c>
      <c r="L160" s="6">
        <v>45211</v>
      </c>
      <c r="M160" s="12" t="s">
        <v>504</v>
      </c>
      <c r="N160" s="20">
        <v>0</v>
      </c>
      <c r="O160" s="12" t="s">
        <v>505</v>
      </c>
      <c r="S160" s="12" t="s">
        <v>506</v>
      </c>
    </row>
    <row r="161" s="8" customFormat="1" spans="1:19">
      <c r="A161" s="8" t="s">
        <v>28</v>
      </c>
      <c r="B161" s="8" t="s">
        <v>29</v>
      </c>
      <c r="C161" s="6">
        <v>45210</v>
      </c>
      <c r="D161" s="60"/>
      <c r="E161" s="8" t="s">
        <v>432</v>
      </c>
      <c r="F161" s="8" t="s">
        <v>54</v>
      </c>
      <c r="G161" s="9" t="s">
        <v>25</v>
      </c>
      <c r="H161" s="9">
        <v>1</v>
      </c>
      <c r="I161" s="9">
        <v>15</v>
      </c>
      <c r="J161" s="9">
        <v>1</v>
      </c>
      <c r="K161" s="9">
        <f t="shared" si="3"/>
        <v>15</v>
      </c>
      <c r="L161" s="6">
        <v>45211</v>
      </c>
      <c r="M161" s="12" t="s">
        <v>507</v>
      </c>
      <c r="N161" s="20">
        <v>0</v>
      </c>
      <c r="O161" s="12" t="s">
        <v>508</v>
      </c>
      <c r="S161" s="12"/>
    </row>
    <row r="162" s="8" customFormat="1" spans="1:19">
      <c r="A162" s="8" t="s">
        <v>33</v>
      </c>
      <c r="B162" s="8" t="s">
        <v>100</v>
      </c>
      <c r="C162" s="6">
        <v>45210</v>
      </c>
      <c r="D162" s="60"/>
      <c r="E162" s="8" t="s">
        <v>509</v>
      </c>
      <c r="F162" s="8" t="s">
        <v>54</v>
      </c>
      <c r="G162" s="9" t="s">
        <v>25</v>
      </c>
      <c r="H162" s="9">
        <v>1</v>
      </c>
      <c r="I162" s="9">
        <v>5</v>
      </c>
      <c r="J162" s="9">
        <v>150</v>
      </c>
      <c r="K162" s="9">
        <f t="shared" si="3"/>
        <v>750</v>
      </c>
      <c r="L162" s="6">
        <v>45217</v>
      </c>
      <c r="M162" s="12" t="s">
        <v>510</v>
      </c>
      <c r="N162" s="20">
        <v>0</v>
      </c>
      <c r="O162" s="12" t="s">
        <v>511</v>
      </c>
      <c r="S162" s="12"/>
    </row>
    <row r="163" s="8" customFormat="1" spans="1:19">
      <c r="A163" s="8" t="s">
        <v>33</v>
      </c>
      <c r="B163" s="8" t="s">
        <v>100</v>
      </c>
      <c r="C163" s="6">
        <v>45210</v>
      </c>
      <c r="D163" s="60"/>
      <c r="E163" s="8" t="s">
        <v>512</v>
      </c>
      <c r="F163" s="8" t="s">
        <v>54</v>
      </c>
      <c r="G163" s="9" t="s">
        <v>25</v>
      </c>
      <c r="H163" s="9">
        <v>1</v>
      </c>
      <c r="I163" s="9">
        <v>6</v>
      </c>
      <c r="J163" s="9">
        <v>20</v>
      </c>
      <c r="K163" s="9">
        <f t="shared" si="3"/>
        <v>120</v>
      </c>
      <c r="L163" s="6">
        <v>45216</v>
      </c>
      <c r="M163" s="12" t="s">
        <v>513</v>
      </c>
      <c r="N163" s="20">
        <v>0</v>
      </c>
      <c r="O163" s="12" t="s">
        <v>514</v>
      </c>
      <c r="S163" s="12"/>
    </row>
    <row r="164" s="8" customFormat="1" spans="1:19">
      <c r="A164" s="8" t="s">
        <v>43</v>
      </c>
      <c r="B164" s="8" t="s">
        <v>44</v>
      </c>
      <c r="C164" s="6">
        <v>45210</v>
      </c>
      <c r="D164" s="60"/>
      <c r="E164" s="8" t="s">
        <v>515</v>
      </c>
      <c r="F164" s="8" t="s">
        <v>54</v>
      </c>
      <c r="G164" s="9" t="s">
        <v>25</v>
      </c>
      <c r="H164" s="9">
        <v>1</v>
      </c>
      <c r="I164" s="9">
        <v>25</v>
      </c>
      <c r="J164" s="9">
        <v>1</v>
      </c>
      <c r="K164" s="9">
        <f t="shared" si="3"/>
        <v>25</v>
      </c>
      <c r="L164" s="6">
        <v>45210</v>
      </c>
      <c r="M164" s="12" t="s">
        <v>516</v>
      </c>
      <c r="N164" s="20">
        <v>0</v>
      </c>
      <c r="O164" s="12" t="s">
        <v>517</v>
      </c>
      <c r="S164" s="12"/>
    </row>
    <row r="165" s="8" customFormat="1" spans="1:19">
      <c r="A165" s="8" t="s">
        <v>51</v>
      </c>
      <c r="B165" s="8" t="s">
        <v>476</v>
      </c>
      <c r="C165" s="6">
        <v>45211</v>
      </c>
      <c r="D165" s="60"/>
      <c r="E165" s="8" t="s">
        <v>518</v>
      </c>
      <c r="F165" s="8" t="s">
        <v>48</v>
      </c>
      <c r="G165" s="9" t="s">
        <v>49</v>
      </c>
      <c r="H165" s="9"/>
      <c r="I165" s="9">
        <v>20</v>
      </c>
      <c r="J165" s="9">
        <v>250</v>
      </c>
      <c r="K165" s="9">
        <f t="shared" si="3"/>
        <v>5000</v>
      </c>
      <c r="L165" s="6">
        <v>45215</v>
      </c>
      <c r="M165" s="12" t="s">
        <v>519</v>
      </c>
      <c r="N165" s="20">
        <v>0</v>
      </c>
      <c r="O165" s="12" t="s">
        <v>520</v>
      </c>
      <c r="S165" s="12"/>
    </row>
    <row r="166" s="8" customFormat="1" spans="1:19">
      <c r="A166" s="8" t="s">
        <v>43</v>
      </c>
      <c r="B166" s="8" t="s">
        <v>44</v>
      </c>
      <c r="C166" s="6">
        <v>45215</v>
      </c>
      <c r="D166" s="60"/>
      <c r="E166" s="8" t="s">
        <v>521</v>
      </c>
      <c r="F166" s="8" t="s">
        <v>54</v>
      </c>
      <c r="G166" s="9" t="s">
        <v>25</v>
      </c>
      <c r="H166" s="9">
        <v>1</v>
      </c>
      <c r="I166" s="9">
        <v>25</v>
      </c>
      <c r="J166" s="9">
        <v>1</v>
      </c>
      <c r="K166" s="9">
        <f t="shared" si="3"/>
        <v>25</v>
      </c>
      <c r="L166" s="6">
        <v>45216</v>
      </c>
      <c r="M166" s="12" t="s">
        <v>522</v>
      </c>
      <c r="N166" s="20">
        <v>0</v>
      </c>
      <c r="O166" s="12" t="s">
        <v>523</v>
      </c>
      <c r="S166" s="12"/>
    </row>
    <row r="167" s="8" customFormat="1" spans="1:19">
      <c r="A167" s="8" t="s">
        <v>43</v>
      </c>
      <c r="B167" s="8" t="s">
        <v>44</v>
      </c>
      <c r="C167" s="6">
        <v>45215</v>
      </c>
      <c r="D167" s="60"/>
      <c r="E167" s="8" t="s">
        <v>524</v>
      </c>
      <c r="F167" s="8" t="s">
        <v>54</v>
      </c>
      <c r="G167" s="9" t="s">
        <v>25</v>
      </c>
      <c r="H167" s="9">
        <v>1</v>
      </c>
      <c r="I167" s="9">
        <v>22</v>
      </c>
      <c r="J167" s="9">
        <v>10</v>
      </c>
      <c r="K167" s="9">
        <f t="shared" si="3"/>
        <v>220</v>
      </c>
      <c r="L167" s="6">
        <v>45216</v>
      </c>
      <c r="M167" s="12" t="s">
        <v>525</v>
      </c>
      <c r="N167" s="20">
        <v>0</v>
      </c>
      <c r="O167" s="12" t="s">
        <v>526</v>
      </c>
      <c r="S167" s="12"/>
    </row>
    <row r="168" s="8" customFormat="1" spans="1:19">
      <c r="A168" s="8" t="s">
        <v>33</v>
      </c>
      <c r="B168" s="8" t="s">
        <v>34</v>
      </c>
      <c r="C168" s="6">
        <v>45209</v>
      </c>
      <c r="D168" s="60"/>
      <c r="E168" s="8" t="s">
        <v>527</v>
      </c>
      <c r="F168" s="8" t="s">
        <v>54</v>
      </c>
      <c r="G168" s="9" t="s">
        <v>25</v>
      </c>
      <c r="H168" s="9">
        <v>1</v>
      </c>
      <c r="I168" s="9">
        <v>18</v>
      </c>
      <c r="J168" s="9">
        <v>3</v>
      </c>
      <c r="K168" s="9">
        <f t="shared" si="3"/>
        <v>54</v>
      </c>
      <c r="L168" s="6">
        <v>45215</v>
      </c>
      <c r="M168" s="12" t="s">
        <v>528</v>
      </c>
      <c r="N168" s="20">
        <v>0</v>
      </c>
      <c r="O168" s="12" t="s">
        <v>529</v>
      </c>
      <c r="S168" s="12"/>
    </row>
    <row r="169" s="8" customFormat="1" spans="1:19">
      <c r="A169" s="8" t="s">
        <v>33</v>
      </c>
      <c r="B169" s="8" t="s">
        <v>34</v>
      </c>
      <c r="C169" s="6">
        <v>45216</v>
      </c>
      <c r="D169" s="60"/>
      <c r="E169" s="8" t="s">
        <v>63</v>
      </c>
      <c r="F169" s="8" t="s">
        <v>54</v>
      </c>
      <c r="G169" s="9" t="s">
        <v>25</v>
      </c>
      <c r="H169" s="9">
        <v>1</v>
      </c>
      <c r="I169" s="9">
        <v>8</v>
      </c>
      <c r="J169" s="9">
        <v>485</v>
      </c>
      <c r="K169" s="9">
        <f t="shared" si="3"/>
        <v>3880</v>
      </c>
      <c r="L169" s="6">
        <v>45217</v>
      </c>
      <c r="M169" s="12" t="s">
        <v>530</v>
      </c>
      <c r="N169" s="20">
        <v>0</v>
      </c>
      <c r="O169" s="12"/>
      <c r="S169" s="12"/>
    </row>
    <row r="170" s="8" customFormat="1" spans="1:19">
      <c r="A170" s="8" t="s">
        <v>28</v>
      </c>
      <c r="B170" s="8" t="s">
        <v>29</v>
      </c>
      <c r="C170" s="6">
        <v>45218</v>
      </c>
      <c r="D170" s="60"/>
      <c r="E170" s="8" t="s">
        <v>531</v>
      </c>
      <c r="F170" s="8" t="s">
        <v>54</v>
      </c>
      <c r="G170" s="9" t="s">
        <v>25</v>
      </c>
      <c r="H170" s="9">
        <v>1</v>
      </c>
      <c r="I170" s="9">
        <v>15</v>
      </c>
      <c r="J170" s="9">
        <v>270</v>
      </c>
      <c r="K170" s="9">
        <f t="shared" si="3"/>
        <v>4050</v>
      </c>
      <c r="L170" s="6">
        <v>45222</v>
      </c>
      <c r="M170" s="12" t="s">
        <v>532</v>
      </c>
      <c r="N170" s="20">
        <v>0</v>
      </c>
      <c r="O170" s="12" t="s">
        <v>283</v>
      </c>
      <c r="S170" s="12"/>
    </row>
    <row r="171" s="8" customFormat="1" spans="1:19">
      <c r="A171" s="8" t="s">
        <v>43</v>
      </c>
      <c r="B171" s="8" t="s">
        <v>44</v>
      </c>
      <c r="C171" s="6">
        <v>45222</v>
      </c>
      <c r="D171" s="60"/>
      <c r="E171" s="8" t="s">
        <v>533</v>
      </c>
      <c r="F171" s="8" t="s">
        <v>54</v>
      </c>
      <c r="G171" s="9" t="s">
        <v>25</v>
      </c>
      <c r="H171" s="9">
        <v>1</v>
      </c>
      <c r="I171" s="9">
        <v>22</v>
      </c>
      <c r="J171" s="9">
        <v>21</v>
      </c>
      <c r="K171" s="9">
        <f t="shared" si="3"/>
        <v>462</v>
      </c>
      <c r="L171" s="6">
        <v>45225</v>
      </c>
      <c r="M171" s="12" t="s">
        <v>534</v>
      </c>
      <c r="N171" s="20">
        <v>0</v>
      </c>
      <c r="O171" s="57" t="s">
        <v>535</v>
      </c>
      <c r="S171" s="12"/>
    </row>
    <row r="172" s="8" customFormat="1" spans="1:19">
      <c r="A172" s="8" t="s">
        <v>33</v>
      </c>
      <c r="B172" s="8" t="s">
        <v>100</v>
      </c>
      <c r="C172" s="6">
        <v>45222</v>
      </c>
      <c r="D172" s="60"/>
      <c r="E172" s="8" t="s">
        <v>536</v>
      </c>
      <c r="F172" s="8" t="s">
        <v>54</v>
      </c>
      <c r="G172" s="9" t="s">
        <v>25</v>
      </c>
      <c r="H172" s="9">
        <v>1</v>
      </c>
      <c r="I172" s="9">
        <v>6</v>
      </c>
      <c r="J172" s="9">
        <v>10</v>
      </c>
      <c r="K172" s="9">
        <f t="shared" si="3"/>
        <v>60</v>
      </c>
      <c r="L172" s="6">
        <v>45225</v>
      </c>
      <c r="M172" s="12" t="s">
        <v>537</v>
      </c>
      <c r="N172" s="20">
        <v>0</v>
      </c>
      <c r="O172" s="12" t="s">
        <v>538</v>
      </c>
      <c r="S172" s="12" t="s">
        <v>539</v>
      </c>
    </row>
    <row r="173" s="8" customFormat="1" spans="1:19">
      <c r="A173" s="8" t="s">
        <v>33</v>
      </c>
      <c r="B173" s="8" t="s">
        <v>100</v>
      </c>
      <c r="C173" s="6">
        <v>45222</v>
      </c>
      <c r="D173" s="60"/>
      <c r="E173" s="8" t="s">
        <v>540</v>
      </c>
      <c r="F173" s="8" t="s">
        <v>54</v>
      </c>
      <c r="G173" s="9" t="s">
        <v>25</v>
      </c>
      <c r="H173" s="9">
        <v>1</v>
      </c>
      <c r="I173" s="9">
        <v>6</v>
      </c>
      <c r="J173" s="9">
        <v>50</v>
      </c>
      <c r="K173" s="9">
        <f t="shared" si="3"/>
        <v>300</v>
      </c>
      <c r="L173" s="6">
        <v>45225</v>
      </c>
      <c r="M173" s="12" t="s">
        <v>541</v>
      </c>
      <c r="N173" s="20">
        <v>0</v>
      </c>
      <c r="O173" s="12" t="s">
        <v>542</v>
      </c>
      <c r="S173" s="12" t="s">
        <v>539</v>
      </c>
    </row>
    <row r="174" s="8" customFormat="1" spans="1:19">
      <c r="A174" s="8" t="s">
        <v>21</v>
      </c>
      <c r="B174" s="8" t="s">
        <v>22</v>
      </c>
      <c r="C174" s="6">
        <v>45225</v>
      </c>
      <c r="D174" s="60"/>
      <c r="E174" s="65" t="s">
        <v>543</v>
      </c>
      <c r="F174" s="8" t="s">
        <v>414</v>
      </c>
      <c r="G174" s="9" t="s">
        <v>25</v>
      </c>
      <c r="H174" s="9">
        <v>10</v>
      </c>
      <c r="I174" s="9">
        <v>65</v>
      </c>
      <c r="J174" s="9">
        <v>30</v>
      </c>
      <c r="K174" s="9">
        <f t="shared" si="3"/>
        <v>1950</v>
      </c>
      <c r="L174" s="6">
        <v>45226</v>
      </c>
      <c r="M174" s="12" t="s">
        <v>544</v>
      </c>
      <c r="N174" s="20">
        <v>0</v>
      </c>
      <c r="O174" s="12" t="s">
        <v>545</v>
      </c>
      <c r="S174" s="12"/>
    </row>
    <row r="175" s="8" customFormat="1" spans="1:19">
      <c r="A175" s="8" t="s">
        <v>33</v>
      </c>
      <c r="B175" s="8" t="s">
        <v>100</v>
      </c>
      <c r="C175" s="6">
        <v>45225</v>
      </c>
      <c r="D175" s="60"/>
      <c r="E175" s="8" t="s">
        <v>546</v>
      </c>
      <c r="F175" s="8" t="s">
        <v>54</v>
      </c>
      <c r="G175" s="9" t="s">
        <v>25</v>
      </c>
      <c r="H175" s="9">
        <v>1</v>
      </c>
      <c r="I175" s="9">
        <v>6</v>
      </c>
      <c r="J175" s="9">
        <v>30</v>
      </c>
      <c r="K175" s="9">
        <f t="shared" si="3"/>
        <v>180</v>
      </c>
      <c r="L175" s="6">
        <v>45226</v>
      </c>
      <c r="M175" s="12" t="s">
        <v>547</v>
      </c>
      <c r="N175" s="20">
        <v>0</v>
      </c>
      <c r="O175" s="12" t="s">
        <v>548</v>
      </c>
      <c r="S175" s="12"/>
    </row>
    <row r="176" s="8" customFormat="1" spans="1:19">
      <c r="A176" s="8" t="s">
        <v>33</v>
      </c>
      <c r="B176" s="8" t="s">
        <v>100</v>
      </c>
      <c r="C176" s="6">
        <v>45229</v>
      </c>
      <c r="D176" s="60"/>
      <c r="E176" s="8" t="s">
        <v>549</v>
      </c>
      <c r="F176" s="8" t="s">
        <v>48</v>
      </c>
      <c r="G176" s="9" t="s">
        <v>49</v>
      </c>
      <c r="H176" s="9"/>
      <c r="I176" s="9">
        <v>50</v>
      </c>
      <c r="J176" s="9">
        <v>20</v>
      </c>
      <c r="K176" s="9">
        <f t="shared" si="3"/>
        <v>1000</v>
      </c>
      <c r="L176" s="6">
        <v>45230</v>
      </c>
      <c r="M176" s="12" t="s">
        <v>550</v>
      </c>
      <c r="N176" s="20">
        <v>0</v>
      </c>
      <c r="O176" s="12" t="s">
        <v>551</v>
      </c>
      <c r="S176" s="12"/>
    </row>
    <row r="177" s="8" customFormat="1" spans="1:19">
      <c r="A177" s="8" t="s">
        <v>51</v>
      </c>
      <c r="B177" s="8" t="s">
        <v>34</v>
      </c>
      <c r="C177" s="6">
        <v>45229</v>
      </c>
      <c r="D177" s="60"/>
      <c r="E177" s="8" t="s">
        <v>552</v>
      </c>
      <c r="F177" s="8" t="s">
        <v>54</v>
      </c>
      <c r="G177" s="9" t="s">
        <v>25</v>
      </c>
      <c r="H177" s="9">
        <v>1</v>
      </c>
      <c r="I177" s="9">
        <v>15</v>
      </c>
      <c r="J177" s="9">
        <v>10</v>
      </c>
      <c r="K177" s="9">
        <f t="shared" si="3"/>
        <v>150</v>
      </c>
      <c r="L177" s="6">
        <v>45230</v>
      </c>
      <c r="M177" s="12" t="s">
        <v>553</v>
      </c>
      <c r="N177" s="20">
        <v>0</v>
      </c>
      <c r="O177" s="12" t="s">
        <v>554</v>
      </c>
      <c r="S177" s="12"/>
    </row>
    <row r="178" s="8" customFormat="1" spans="1:19">
      <c r="A178" s="8" t="s">
        <v>51</v>
      </c>
      <c r="B178" s="8" t="s">
        <v>476</v>
      </c>
      <c r="C178" s="6">
        <v>45229</v>
      </c>
      <c r="D178" s="60"/>
      <c r="E178" s="8" t="s">
        <v>309</v>
      </c>
      <c r="F178" s="8" t="s">
        <v>48</v>
      </c>
      <c r="G178" s="9" t="s">
        <v>49</v>
      </c>
      <c r="H178" s="9"/>
      <c r="I178" s="9">
        <v>45</v>
      </c>
      <c r="J178" s="9">
        <v>20</v>
      </c>
      <c r="K178" s="9">
        <f t="shared" si="3"/>
        <v>900</v>
      </c>
      <c r="L178" s="6">
        <v>45230</v>
      </c>
      <c r="M178" s="12" t="s">
        <v>555</v>
      </c>
      <c r="N178" s="20">
        <v>0</v>
      </c>
      <c r="O178" s="12" t="s">
        <v>556</v>
      </c>
      <c r="S178" s="12"/>
    </row>
    <row r="179" s="8" customFormat="1" spans="1:19">
      <c r="A179" s="8" t="s">
        <v>51</v>
      </c>
      <c r="B179" s="8" t="s">
        <v>476</v>
      </c>
      <c r="C179" s="6">
        <v>45229</v>
      </c>
      <c r="D179" s="60"/>
      <c r="E179" s="8" t="s">
        <v>557</v>
      </c>
      <c r="F179" s="8" t="s">
        <v>48</v>
      </c>
      <c r="G179" s="9" t="s">
        <v>49</v>
      </c>
      <c r="H179" s="9"/>
      <c r="I179" s="9">
        <v>40</v>
      </c>
      <c r="J179" s="9">
        <v>150</v>
      </c>
      <c r="K179" s="9">
        <f t="shared" si="3"/>
        <v>6000</v>
      </c>
      <c r="L179" s="6">
        <v>45230</v>
      </c>
      <c r="M179" s="12" t="s">
        <v>558</v>
      </c>
      <c r="N179" s="20">
        <v>0</v>
      </c>
      <c r="O179" s="12" t="s">
        <v>559</v>
      </c>
      <c r="S179" s="12"/>
    </row>
    <row r="180" s="8" customFormat="1" spans="1:19">
      <c r="A180" s="8" t="s">
        <v>33</v>
      </c>
      <c r="B180" s="8" t="s">
        <v>104</v>
      </c>
      <c r="C180" s="6">
        <v>45231</v>
      </c>
      <c r="D180" s="60"/>
      <c r="E180" s="8" t="s">
        <v>560</v>
      </c>
      <c r="F180" s="8" t="s">
        <v>54</v>
      </c>
      <c r="G180" s="9" t="s">
        <v>25</v>
      </c>
      <c r="H180" s="9">
        <v>1</v>
      </c>
      <c r="I180" s="9">
        <v>22</v>
      </c>
      <c r="J180" s="9">
        <v>3</v>
      </c>
      <c r="K180" s="9">
        <f t="shared" si="3"/>
        <v>66</v>
      </c>
      <c r="L180" s="6">
        <v>45237</v>
      </c>
      <c r="M180" s="12" t="s">
        <v>561</v>
      </c>
      <c r="N180" s="20">
        <v>0</v>
      </c>
      <c r="O180" s="12" t="s">
        <v>562</v>
      </c>
      <c r="S180" s="12"/>
    </row>
    <row r="181" s="8" customFormat="1" spans="1:19">
      <c r="A181" s="8" t="s">
        <v>51</v>
      </c>
      <c r="B181" s="8" t="s">
        <v>476</v>
      </c>
      <c r="C181" s="6">
        <v>45233</v>
      </c>
      <c r="D181" s="60"/>
      <c r="E181" s="8" t="s">
        <v>518</v>
      </c>
      <c r="F181" s="8" t="s">
        <v>48</v>
      </c>
      <c r="G181" s="9" t="s">
        <v>49</v>
      </c>
      <c r="H181" s="9"/>
      <c r="I181" s="9">
        <v>20</v>
      </c>
      <c r="J181" s="9">
        <v>250</v>
      </c>
      <c r="K181" s="9">
        <f t="shared" si="3"/>
        <v>5000</v>
      </c>
      <c r="L181" s="6">
        <v>45237</v>
      </c>
      <c r="M181" s="12" t="s">
        <v>563</v>
      </c>
      <c r="N181" s="20">
        <v>0</v>
      </c>
      <c r="O181" s="12" t="s">
        <v>564</v>
      </c>
      <c r="S181" s="12"/>
    </row>
    <row r="182" s="8" customFormat="1" spans="1:19">
      <c r="A182" s="8" t="s">
        <v>33</v>
      </c>
      <c r="B182" s="8" t="s">
        <v>100</v>
      </c>
      <c r="C182" s="6">
        <v>45234</v>
      </c>
      <c r="D182" s="60"/>
      <c r="E182" s="65" t="s">
        <v>565</v>
      </c>
      <c r="F182" s="8" t="s">
        <v>54</v>
      </c>
      <c r="G182" s="9" t="s">
        <v>25</v>
      </c>
      <c r="H182" s="9">
        <v>1</v>
      </c>
      <c r="I182" s="9">
        <v>5</v>
      </c>
      <c r="J182" s="9">
        <v>437</v>
      </c>
      <c r="K182" s="9">
        <f t="shared" si="3"/>
        <v>2185</v>
      </c>
      <c r="L182" s="6">
        <v>45237</v>
      </c>
      <c r="M182" s="12" t="s">
        <v>566</v>
      </c>
      <c r="N182" s="20">
        <v>0</v>
      </c>
      <c r="O182" s="12" t="s">
        <v>567</v>
      </c>
      <c r="S182" s="12"/>
    </row>
    <row r="183" s="8" customFormat="1" ht="29" spans="1:19">
      <c r="A183" s="8" t="s">
        <v>43</v>
      </c>
      <c r="B183" s="8" t="s">
        <v>44</v>
      </c>
      <c r="C183" s="6">
        <v>45233</v>
      </c>
      <c r="D183" s="60"/>
      <c r="E183" s="8" t="s">
        <v>568</v>
      </c>
      <c r="F183" s="8" t="s">
        <v>54</v>
      </c>
      <c r="G183" s="9" t="s">
        <v>25</v>
      </c>
      <c r="H183" s="9">
        <v>1</v>
      </c>
      <c r="I183" s="9">
        <v>25</v>
      </c>
      <c r="J183" s="9">
        <v>1</v>
      </c>
      <c r="K183" s="9">
        <f t="shared" si="3"/>
        <v>25</v>
      </c>
      <c r="L183" s="6">
        <v>45237</v>
      </c>
      <c r="M183" s="12" t="s">
        <v>569</v>
      </c>
      <c r="N183" s="20">
        <v>0</v>
      </c>
      <c r="O183" s="76" t="s">
        <v>570</v>
      </c>
      <c r="S183" s="12"/>
    </row>
    <row r="184" s="8" customFormat="1" spans="1:19">
      <c r="A184" s="8" t="s">
        <v>21</v>
      </c>
      <c r="B184" s="8" t="s">
        <v>22</v>
      </c>
      <c r="C184" s="6">
        <v>45240</v>
      </c>
      <c r="D184" s="60"/>
      <c r="E184" s="8" t="s">
        <v>571</v>
      </c>
      <c r="F184" s="8" t="s">
        <v>24</v>
      </c>
      <c r="G184" s="9" t="s">
        <v>25</v>
      </c>
      <c r="H184" s="9">
        <v>3</v>
      </c>
      <c r="I184" s="9">
        <v>30</v>
      </c>
      <c r="J184" s="9">
        <v>30</v>
      </c>
      <c r="K184" s="9">
        <f t="shared" si="3"/>
        <v>900</v>
      </c>
      <c r="L184" s="6">
        <v>45243</v>
      </c>
      <c r="M184" s="12" t="s">
        <v>572</v>
      </c>
      <c r="N184" s="20">
        <v>0</v>
      </c>
      <c r="O184" s="12" t="s">
        <v>573</v>
      </c>
      <c r="S184" s="12"/>
    </row>
    <row r="185" s="8" customFormat="1" spans="1:19">
      <c r="A185" s="8" t="s">
        <v>43</v>
      </c>
      <c r="B185" s="8" t="s">
        <v>44</v>
      </c>
      <c r="C185" s="6">
        <v>45243</v>
      </c>
      <c r="D185" s="60"/>
      <c r="E185" s="8" t="s">
        <v>574</v>
      </c>
      <c r="F185" s="8" t="s">
        <v>54</v>
      </c>
      <c r="G185" s="9" t="s">
        <v>25</v>
      </c>
      <c r="H185" s="9">
        <v>1</v>
      </c>
      <c r="I185" s="9">
        <v>22</v>
      </c>
      <c r="J185" s="9">
        <v>70</v>
      </c>
      <c r="K185" s="9">
        <f t="shared" si="3"/>
        <v>1540</v>
      </c>
      <c r="L185" s="6">
        <v>45245</v>
      </c>
      <c r="M185" s="12" t="s">
        <v>575</v>
      </c>
      <c r="N185" s="20">
        <v>0</v>
      </c>
      <c r="O185" s="12" t="s">
        <v>576</v>
      </c>
      <c r="S185" s="12"/>
    </row>
    <row r="186" s="8" customFormat="1" ht="29" spans="1:19">
      <c r="A186" s="8" t="s">
        <v>28</v>
      </c>
      <c r="B186" s="8" t="s">
        <v>29</v>
      </c>
      <c r="C186" s="6">
        <v>45244</v>
      </c>
      <c r="D186" s="60"/>
      <c r="E186" s="8" t="s">
        <v>577</v>
      </c>
      <c r="F186" s="8" t="s">
        <v>54</v>
      </c>
      <c r="G186" s="9" t="s">
        <v>25</v>
      </c>
      <c r="H186" s="9">
        <v>1</v>
      </c>
      <c r="I186" s="9">
        <v>15</v>
      </c>
      <c r="J186" s="9">
        <v>1</v>
      </c>
      <c r="K186" s="9">
        <f t="shared" si="3"/>
        <v>15</v>
      </c>
      <c r="L186" s="6">
        <v>45245</v>
      </c>
      <c r="M186" s="12" t="s">
        <v>578</v>
      </c>
      <c r="N186" s="20">
        <v>0</v>
      </c>
      <c r="O186" s="76" t="s">
        <v>579</v>
      </c>
      <c r="P186" s="8" t="s">
        <v>580</v>
      </c>
      <c r="S186" s="12"/>
    </row>
    <row r="187" s="8" customFormat="1" spans="1:19">
      <c r="A187" s="8" t="s">
        <v>28</v>
      </c>
      <c r="B187" s="8" t="s">
        <v>29</v>
      </c>
      <c r="C187" s="6">
        <v>45243</v>
      </c>
      <c r="D187" s="60"/>
      <c r="E187" s="8" t="s">
        <v>581</v>
      </c>
      <c r="F187" s="8" t="s">
        <v>54</v>
      </c>
      <c r="G187" s="9" t="s">
        <v>25</v>
      </c>
      <c r="H187" s="9">
        <v>1</v>
      </c>
      <c r="I187" s="9">
        <v>15</v>
      </c>
      <c r="J187" s="9">
        <v>1</v>
      </c>
      <c r="K187" s="9">
        <f t="shared" si="3"/>
        <v>15</v>
      </c>
      <c r="L187" s="6">
        <v>45245</v>
      </c>
      <c r="M187" s="12" t="s">
        <v>582</v>
      </c>
      <c r="N187" s="20">
        <v>0</v>
      </c>
      <c r="O187" s="12" t="s">
        <v>583</v>
      </c>
      <c r="S187" s="12"/>
    </row>
    <row r="188" s="8" customFormat="1" spans="1:19">
      <c r="A188" s="8" t="s">
        <v>33</v>
      </c>
      <c r="B188" s="8" t="s">
        <v>104</v>
      </c>
      <c r="C188" s="6">
        <v>45245</v>
      </c>
      <c r="D188" s="60"/>
      <c r="E188" s="8" t="s">
        <v>584</v>
      </c>
      <c r="F188" s="8" t="s">
        <v>54</v>
      </c>
      <c r="G188" s="9" t="s">
        <v>25</v>
      </c>
      <c r="H188" s="9">
        <v>1</v>
      </c>
      <c r="I188" s="9">
        <v>22</v>
      </c>
      <c r="J188" s="9">
        <v>5</v>
      </c>
      <c r="K188" s="9">
        <f t="shared" si="3"/>
        <v>110</v>
      </c>
      <c r="L188" s="6">
        <v>45247</v>
      </c>
      <c r="M188" s="12" t="s">
        <v>585</v>
      </c>
      <c r="N188" s="20">
        <v>0</v>
      </c>
      <c r="O188" s="12" t="s">
        <v>586</v>
      </c>
      <c r="S188" s="12"/>
    </row>
    <row r="189" s="8" customFormat="1" spans="1:19">
      <c r="A189" s="8" t="s">
        <v>33</v>
      </c>
      <c r="B189" s="8" t="s">
        <v>100</v>
      </c>
      <c r="C189" s="6">
        <v>45245</v>
      </c>
      <c r="D189" s="60"/>
      <c r="E189" s="8" t="s">
        <v>218</v>
      </c>
      <c r="F189" s="8" t="s">
        <v>54</v>
      </c>
      <c r="G189" s="9" t="s">
        <v>25</v>
      </c>
      <c r="H189" s="9">
        <v>1</v>
      </c>
      <c r="I189" s="9">
        <v>12</v>
      </c>
      <c r="J189" s="9">
        <v>350</v>
      </c>
      <c r="K189" s="9">
        <f t="shared" si="3"/>
        <v>4200</v>
      </c>
      <c r="L189" s="6">
        <v>45247</v>
      </c>
      <c r="M189" s="12" t="s">
        <v>587</v>
      </c>
      <c r="N189" s="20">
        <v>0</v>
      </c>
      <c r="O189" s="12" t="s">
        <v>588</v>
      </c>
      <c r="S189" s="12"/>
    </row>
    <row r="190" s="8" customFormat="1" spans="1:19">
      <c r="A190" s="8" t="s">
        <v>33</v>
      </c>
      <c r="B190" s="8" t="s">
        <v>100</v>
      </c>
      <c r="C190" s="6">
        <v>45245</v>
      </c>
      <c r="D190" s="60"/>
      <c r="E190" s="8" t="s">
        <v>589</v>
      </c>
      <c r="F190" s="8" t="s">
        <v>54</v>
      </c>
      <c r="G190" s="9" t="s">
        <v>25</v>
      </c>
      <c r="H190" s="9">
        <v>1</v>
      </c>
      <c r="I190" s="9">
        <v>15</v>
      </c>
      <c r="J190" s="9">
        <v>10</v>
      </c>
      <c r="K190" s="9">
        <f t="shared" ref="K190:K224" si="4">I190*J190</f>
        <v>150</v>
      </c>
      <c r="L190" s="6">
        <v>45247</v>
      </c>
      <c r="M190" s="12" t="s">
        <v>590</v>
      </c>
      <c r="N190" s="20">
        <v>0</v>
      </c>
      <c r="O190" s="12" t="s">
        <v>591</v>
      </c>
      <c r="S190" s="12"/>
    </row>
    <row r="191" s="8" customFormat="1" spans="1:19">
      <c r="A191" s="8" t="s">
        <v>21</v>
      </c>
      <c r="B191" s="8" t="s">
        <v>22</v>
      </c>
      <c r="C191" s="6">
        <v>45250</v>
      </c>
      <c r="D191" s="60"/>
      <c r="E191" s="8" t="s">
        <v>367</v>
      </c>
      <c r="F191" s="8" t="s">
        <v>54</v>
      </c>
      <c r="G191" s="9" t="s">
        <v>25</v>
      </c>
      <c r="H191" s="9">
        <v>1</v>
      </c>
      <c r="I191" s="9">
        <v>18</v>
      </c>
      <c r="J191" s="9">
        <v>5</v>
      </c>
      <c r="K191" s="9">
        <f t="shared" si="4"/>
        <v>90</v>
      </c>
      <c r="L191" s="6">
        <v>45253</v>
      </c>
      <c r="M191" s="12" t="s">
        <v>592</v>
      </c>
      <c r="N191" s="20">
        <v>0</v>
      </c>
      <c r="O191" s="12" t="s">
        <v>593</v>
      </c>
      <c r="S191" s="12"/>
    </row>
    <row r="192" s="8" customFormat="1" spans="1:19">
      <c r="A192" s="8" t="s">
        <v>33</v>
      </c>
      <c r="B192" s="8" t="s">
        <v>100</v>
      </c>
      <c r="C192" s="6">
        <v>45251</v>
      </c>
      <c r="D192" s="60"/>
      <c r="E192" s="8" t="s">
        <v>594</v>
      </c>
      <c r="F192" s="8" t="s">
        <v>54</v>
      </c>
      <c r="G192" s="9" t="s">
        <v>25</v>
      </c>
      <c r="H192" s="9">
        <v>1</v>
      </c>
      <c r="I192" s="9">
        <v>5</v>
      </c>
      <c r="J192" s="9">
        <v>120</v>
      </c>
      <c r="K192" s="9">
        <f t="shared" si="4"/>
        <v>600</v>
      </c>
      <c r="L192" s="6">
        <v>45253</v>
      </c>
      <c r="M192" s="12" t="s">
        <v>595</v>
      </c>
      <c r="N192" s="20">
        <v>0</v>
      </c>
      <c r="O192" s="12" t="s">
        <v>596</v>
      </c>
      <c r="S192" s="12"/>
    </row>
    <row r="193" s="8" customFormat="1" spans="1:19">
      <c r="A193" s="8" t="s">
        <v>28</v>
      </c>
      <c r="B193" s="8" t="s">
        <v>29</v>
      </c>
      <c r="C193" s="6">
        <v>45254</v>
      </c>
      <c r="D193" s="60"/>
      <c r="E193" s="8" t="s">
        <v>597</v>
      </c>
      <c r="F193" s="8" t="s">
        <v>54</v>
      </c>
      <c r="G193" s="9" t="s">
        <v>25</v>
      </c>
      <c r="H193" s="9">
        <v>1</v>
      </c>
      <c r="I193" s="9">
        <v>15</v>
      </c>
      <c r="J193" s="9">
        <v>1</v>
      </c>
      <c r="K193" s="9">
        <f t="shared" si="4"/>
        <v>15</v>
      </c>
      <c r="L193" s="6">
        <v>45259</v>
      </c>
      <c r="M193" s="12" t="s">
        <v>598</v>
      </c>
      <c r="N193" s="20">
        <v>0</v>
      </c>
      <c r="O193" s="12" t="s">
        <v>599</v>
      </c>
      <c r="S193" s="12"/>
    </row>
    <row r="194" s="8" customFormat="1" spans="1:19">
      <c r="A194" s="8" t="s">
        <v>21</v>
      </c>
      <c r="B194" s="8" t="s">
        <v>22</v>
      </c>
      <c r="C194" s="6">
        <v>45257</v>
      </c>
      <c r="D194" s="60"/>
      <c r="E194" s="8" t="s">
        <v>600</v>
      </c>
      <c r="F194" s="8" t="s">
        <v>24</v>
      </c>
      <c r="G194" s="9" t="s">
        <v>25</v>
      </c>
      <c r="H194" s="9">
        <v>3</v>
      </c>
      <c r="I194" s="9">
        <v>30</v>
      </c>
      <c r="J194" s="9">
        <v>81</v>
      </c>
      <c r="K194" s="9">
        <f t="shared" si="4"/>
        <v>2430</v>
      </c>
      <c r="L194" s="6">
        <v>45259</v>
      </c>
      <c r="M194" s="12" t="s">
        <v>601</v>
      </c>
      <c r="N194" s="20">
        <v>0</v>
      </c>
      <c r="O194" s="12" t="s">
        <v>602</v>
      </c>
      <c r="S194" s="12"/>
    </row>
    <row r="195" s="8" customFormat="1" spans="1:19">
      <c r="A195" s="8" t="s">
        <v>21</v>
      </c>
      <c r="B195" s="8" t="s">
        <v>22</v>
      </c>
      <c r="C195" s="6">
        <v>45257</v>
      </c>
      <c r="D195" s="60"/>
      <c r="E195" s="8" t="s">
        <v>603</v>
      </c>
      <c r="F195" s="8" t="s">
        <v>31</v>
      </c>
      <c r="G195" s="9" t="s">
        <v>25</v>
      </c>
      <c r="H195" s="9">
        <v>1</v>
      </c>
      <c r="I195" s="9">
        <v>18</v>
      </c>
      <c r="J195" s="9">
        <v>5</v>
      </c>
      <c r="K195" s="9">
        <f t="shared" si="4"/>
        <v>90</v>
      </c>
      <c r="L195" s="6">
        <v>45259</v>
      </c>
      <c r="M195" s="12" t="s">
        <v>604</v>
      </c>
      <c r="N195" s="20">
        <v>0</v>
      </c>
      <c r="O195" s="12" t="s">
        <v>605</v>
      </c>
      <c r="S195" s="12"/>
    </row>
    <row r="196" s="8" customFormat="1" spans="1:19">
      <c r="A196" s="8" t="s">
        <v>21</v>
      </c>
      <c r="B196" s="8" t="s">
        <v>22</v>
      </c>
      <c r="C196" s="6">
        <v>45257</v>
      </c>
      <c r="D196" s="60"/>
      <c r="E196" s="8" t="s">
        <v>606</v>
      </c>
      <c r="F196" s="8" t="s">
        <v>54</v>
      </c>
      <c r="G196" s="9" t="s">
        <v>25</v>
      </c>
      <c r="H196" s="9">
        <v>1</v>
      </c>
      <c r="I196" s="9">
        <v>18</v>
      </c>
      <c r="J196" s="9">
        <v>20</v>
      </c>
      <c r="K196" s="9">
        <f t="shared" si="4"/>
        <v>360</v>
      </c>
      <c r="L196" s="6">
        <v>45259</v>
      </c>
      <c r="M196" s="12" t="s">
        <v>607</v>
      </c>
      <c r="N196" s="20">
        <v>0</v>
      </c>
      <c r="O196" s="12" t="s">
        <v>608</v>
      </c>
      <c r="S196" s="12"/>
    </row>
    <row r="197" s="8" customFormat="1" spans="1:19">
      <c r="A197" s="8" t="s">
        <v>33</v>
      </c>
      <c r="B197" s="8" t="s">
        <v>100</v>
      </c>
      <c r="C197" s="6">
        <v>45257</v>
      </c>
      <c r="D197" s="60"/>
      <c r="E197" s="8" t="s">
        <v>609</v>
      </c>
      <c r="F197" s="8" t="s">
        <v>54</v>
      </c>
      <c r="G197" s="9" t="s">
        <v>25</v>
      </c>
      <c r="H197" s="9">
        <v>1</v>
      </c>
      <c r="I197" s="9">
        <v>15</v>
      </c>
      <c r="J197" s="9">
        <v>5</v>
      </c>
      <c r="K197" s="9">
        <f t="shared" si="4"/>
        <v>75</v>
      </c>
      <c r="L197" s="6">
        <v>45259</v>
      </c>
      <c r="M197" s="12" t="s">
        <v>610</v>
      </c>
      <c r="N197" s="20">
        <v>0</v>
      </c>
      <c r="O197" s="12" t="s">
        <v>611</v>
      </c>
      <c r="S197" s="12"/>
    </row>
    <row r="198" s="8" customFormat="1" spans="1:19">
      <c r="A198" s="8" t="s">
        <v>33</v>
      </c>
      <c r="B198" s="65" t="s">
        <v>100</v>
      </c>
      <c r="C198" s="6">
        <v>45257</v>
      </c>
      <c r="D198" s="60"/>
      <c r="E198" s="65" t="s">
        <v>612</v>
      </c>
      <c r="F198" s="8" t="s">
        <v>54</v>
      </c>
      <c r="G198" s="9" t="s">
        <v>25</v>
      </c>
      <c r="H198" s="9">
        <v>1</v>
      </c>
      <c r="I198" s="9">
        <v>5</v>
      </c>
      <c r="J198" s="9">
        <v>2336</v>
      </c>
      <c r="K198" s="9">
        <f t="shared" si="4"/>
        <v>11680</v>
      </c>
      <c r="L198" s="6">
        <v>45259</v>
      </c>
      <c r="M198" s="12" t="s">
        <v>613</v>
      </c>
      <c r="N198" s="20">
        <v>0</v>
      </c>
      <c r="O198" s="12" t="s">
        <v>614</v>
      </c>
      <c r="S198" s="51" t="s">
        <v>615</v>
      </c>
    </row>
    <row r="199" s="8" customFormat="1" spans="1:19">
      <c r="A199" s="8" t="s">
        <v>43</v>
      </c>
      <c r="B199" s="8" t="s">
        <v>44</v>
      </c>
      <c r="C199" s="6">
        <v>45257</v>
      </c>
      <c r="D199" s="60"/>
      <c r="E199" s="8" t="s">
        <v>616</v>
      </c>
      <c r="F199" s="12" t="s">
        <v>54</v>
      </c>
      <c r="G199" s="9" t="s">
        <v>25</v>
      </c>
      <c r="H199" s="9">
        <v>1</v>
      </c>
      <c r="I199" s="9">
        <v>25</v>
      </c>
      <c r="J199" s="9">
        <v>1</v>
      </c>
      <c r="K199" s="9">
        <f t="shared" si="4"/>
        <v>25</v>
      </c>
      <c r="L199" s="6">
        <v>45260</v>
      </c>
      <c r="M199" s="12" t="s">
        <v>617</v>
      </c>
      <c r="N199" s="20">
        <v>0</v>
      </c>
      <c r="O199" s="12" t="s">
        <v>618</v>
      </c>
      <c r="S199" s="12"/>
    </row>
    <row r="200" s="8" customFormat="1" spans="1:19">
      <c r="A200" s="8" t="s">
        <v>43</v>
      </c>
      <c r="B200" s="8" t="s">
        <v>44</v>
      </c>
      <c r="C200" s="6">
        <v>45260</v>
      </c>
      <c r="D200" s="60"/>
      <c r="E200" s="65" t="s">
        <v>619</v>
      </c>
      <c r="F200" s="8" t="s">
        <v>54</v>
      </c>
      <c r="G200" s="9" t="s">
        <v>25</v>
      </c>
      <c r="H200" s="9">
        <v>1</v>
      </c>
      <c r="I200" s="9">
        <v>22</v>
      </c>
      <c r="J200" s="9">
        <v>50</v>
      </c>
      <c r="K200" s="9">
        <f t="shared" si="4"/>
        <v>1100</v>
      </c>
      <c r="L200" s="6">
        <v>45260</v>
      </c>
      <c r="M200" s="12" t="s">
        <v>620</v>
      </c>
      <c r="N200" s="20">
        <v>0</v>
      </c>
      <c r="O200" s="12" t="s">
        <v>621</v>
      </c>
      <c r="S200" s="12"/>
    </row>
    <row r="201" s="8" customFormat="1" spans="1:19">
      <c r="A201" s="8" t="s">
        <v>28</v>
      </c>
      <c r="B201" s="8" t="s">
        <v>29</v>
      </c>
      <c r="C201" s="6">
        <v>45261</v>
      </c>
      <c r="D201" s="60"/>
      <c r="E201" s="8" t="s">
        <v>622</v>
      </c>
      <c r="F201" s="8" t="s">
        <v>31</v>
      </c>
      <c r="G201" s="9" t="s">
        <v>25</v>
      </c>
      <c r="H201" s="9">
        <v>1</v>
      </c>
      <c r="I201" s="9">
        <v>15</v>
      </c>
      <c r="J201" s="9">
        <v>10</v>
      </c>
      <c r="K201" s="9">
        <f t="shared" si="4"/>
        <v>150</v>
      </c>
      <c r="L201" s="6">
        <v>45261</v>
      </c>
      <c r="M201" s="12" t="s">
        <v>623</v>
      </c>
      <c r="N201" s="20">
        <v>0</v>
      </c>
      <c r="O201" s="12" t="s">
        <v>624</v>
      </c>
      <c r="S201" s="12"/>
    </row>
    <row r="202" s="8" customFormat="1" spans="1:19">
      <c r="A202" s="8" t="s">
        <v>51</v>
      </c>
      <c r="B202" s="8" t="s">
        <v>476</v>
      </c>
      <c r="C202" s="6">
        <v>45268</v>
      </c>
      <c r="D202" s="60"/>
      <c r="E202" s="8" t="s">
        <v>518</v>
      </c>
      <c r="F202" s="8" t="s">
        <v>48</v>
      </c>
      <c r="G202" s="9" t="s">
        <v>49</v>
      </c>
      <c r="H202" s="9"/>
      <c r="I202" s="9">
        <v>20</v>
      </c>
      <c r="J202" s="9">
        <v>250</v>
      </c>
      <c r="K202" s="9">
        <f t="shared" si="4"/>
        <v>5000</v>
      </c>
      <c r="L202" s="6">
        <v>45268</v>
      </c>
      <c r="M202" s="12" t="s">
        <v>625</v>
      </c>
      <c r="N202" s="20">
        <v>0</v>
      </c>
      <c r="O202" s="12" t="s">
        <v>626</v>
      </c>
      <c r="S202" s="12"/>
    </row>
    <row r="203" s="8" customFormat="1" spans="1:19">
      <c r="A203" s="8" t="s">
        <v>33</v>
      </c>
      <c r="B203" s="8" t="s">
        <v>34</v>
      </c>
      <c r="C203" s="6">
        <v>45268</v>
      </c>
      <c r="D203" s="60"/>
      <c r="E203" s="8" t="s">
        <v>627</v>
      </c>
      <c r="F203" s="8" t="s">
        <v>54</v>
      </c>
      <c r="G203" s="9" t="s">
        <v>25</v>
      </c>
      <c r="H203" s="9">
        <v>1</v>
      </c>
      <c r="I203" s="9">
        <v>7</v>
      </c>
      <c r="J203" s="9">
        <v>2437</v>
      </c>
      <c r="K203" s="9">
        <f t="shared" si="4"/>
        <v>17059</v>
      </c>
      <c r="L203" s="6">
        <v>45268</v>
      </c>
      <c r="M203" s="12" t="s">
        <v>628</v>
      </c>
      <c r="N203" s="20">
        <v>0</v>
      </c>
      <c r="O203" s="12" t="s">
        <v>629</v>
      </c>
      <c r="S203" s="51" t="s">
        <v>615</v>
      </c>
    </row>
    <row r="204" s="8" customFormat="1" spans="1:19">
      <c r="A204" s="8" t="s">
        <v>43</v>
      </c>
      <c r="B204" s="8" t="s">
        <v>44</v>
      </c>
      <c r="C204" s="6">
        <v>45268</v>
      </c>
      <c r="D204" s="60"/>
      <c r="E204" s="8" t="s">
        <v>630</v>
      </c>
      <c r="F204" s="8" t="s">
        <v>54</v>
      </c>
      <c r="G204" s="9" t="s">
        <v>25</v>
      </c>
      <c r="H204" s="9">
        <v>1</v>
      </c>
      <c r="I204" s="9">
        <v>25</v>
      </c>
      <c r="J204" s="9">
        <v>1</v>
      </c>
      <c r="K204" s="9">
        <f t="shared" si="4"/>
        <v>25</v>
      </c>
      <c r="L204" s="6">
        <v>45268</v>
      </c>
      <c r="M204" s="12" t="s">
        <v>631</v>
      </c>
      <c r="N204" s="20">
        <v>0</v>
      </c>
      <c r="O204" s="12" t="s">
        <v>632</v>
      </c>
      <c r="S204" s="12"/>
    </row>
    <row r="205" s="8" customFormat="1" spans="1:19">
      <c r="A205" s="8" t="s">
        <v>43</v>
      </c>
      <c r="B205" s="8" t="s">
        <v>44</v>
      </c>
      <c r="C205" s="6">
        <v>45268</v>
      </c>
      <c r="D205" s="60"/>
      <c r="E205" s="8" t="s">
        <v>633</v>
      </c>
      <c r="F205" s="8" t="s">
        <v>54</v>
      </c>
      <c r="G205" s="9" t="s">
        <v>25</v>
      </c>
      <c r="H205" s="9">
        <v>1</v>
      </c>
      <c r="I205" s="9">
        <v>22</v>
      </c>
      <c r="J205" s="9">
        <v>3</v>
      </c>
      <c r="K205" s="9">
        <f t="shared" si="4"/>
        <v>66</v>
      </c>
      <c r="L205" s="6">
        <v>45268</v>
      </c>
      <c r="M205" s="12" t="s">
        <v>634</v>
      </c>
      <c r="N205" s="20">
        <v>0</v>
      </c>
      <c r="O205" s="12" t="s">
        <v>635</v>
      </c>
      <c r="S205" s="12"/>
    </row>
    <row r="206" s="8" customFormat="1" spans="1:19">
      <c r="A206" s="8" t="s">
        <v>51</v>
      </c>
      <c r="B206" s="8" t="s">
        <v>118</v>
      </c>
      <c r="C206" s="6">
        <v>45268</v>
      </c>
      <c r="D206" s="60"/>
      <c r="E206" s="8" t="s">
        <v>398</v>
      </c>
      <c r="F206" s="8" t="s">
        <v>48</v>
      </c>
      <c r="G206" s="9" t="s">
        <v>49</v>
      </c>
      <c r="H206" s="9"/>
      <c r="I206" s="9">
        <v>40</v>
      </c>
      <c r="J206" s="9">
        <v>140</v>
      </c>
      <c r="K206" s="9">
        <f t="shared" si="4"/>
        <v>5600</v>
      </c>
      <c r="L206" s="6">
        <v>45273</v>
      </c>
      <c r="M206" s="12" t="s">
        <v>636</v>
      </c>
      <c r="N206" s="20">
        <v>0</v>
      </c>
      <c r="O206" s="12" t="s">
        <v>637</v>
      </c>
      <c r="S206" s="12"/>
    </row>
    <row r="207" s="8" customFormat="1" spans="1:19">
      <c r="A207" s="8" t="s">
        <v>43</v>
      </c>
      <c r="B207" s="8" t="s">
        <v>44</v>
      </c>
      <c r="C207" s="6">
        <v>45275</v>
      </c>
      <c r="D207" s="60"/>
      <c r="E207" s="8" t="s">
        <v>638</v>
      </c>
      <c r="F207" s="8" t="s">
        <v>54</v>
      </c>
      <c r="G207" s="9" t="s">
        <v>25</v>
      </c>
      <c r="H207" s="9">
        <v>1</v>
      </c>
      <c r="I207" s="9">
        <v>25</v>
      </c>
      <c r="J207" s="9">
        <v>1</v>
      </c>
      <c r="K207" s="9">
        <f t="shared" si="4"/>
        <v>25</v>
      </c>
      <c r="L207" s="6">
        <v>45278</v>
      </c>
      <c r="M207" s="12" t="s">
        <v>639</v>
      </c>
      <c r="N207" s="20">
        <v>0</v>
      </c>
      <c r="O207" s="12" t="s">
        <v>640</v>
      </c>
      <c r="S207" s="12"/>
    </row>
    <row r="208" s="8" customFormat="1" spans="1:19">
      <c r="A208" s="8" t="s">
        <v>51</v>
      </c>
      <c r="B208" s="8" t="s">
        <v>118</v>
      </c>
      <c r="C208" s="6">
        <v>45275</v>
      </c>
      <c r="D208" s="60"/>
      <c r="E208" s="65" t="s">
        <v>641</v>
      </c>
      <c r="F208" s="8" t="s">
        <v>48</v>
      </c>
      <c r="G208" s="9" t="s">
        <v>49</v>
      </c>
      <c r="H208" s="9"/>
      <c r="I208" s="9">
        <v>25</v>
      </c>
      <c r="J208" s="9">
        <v>1200</v>
      </c>
      <c r="K208" s="9">
        <f t="shared" si="4"/>
        <v>30000</v>
      </c>
      <c r="L208" s="6">
        <v>45278</v>
      </c>
      <c r="M208" s="12" t="s">
        <v>642</v>
      </c>
      <c r="N208" s="20">
        <v>0</v>
      </c>
      <c r="O208" s="12" t="s">
        <v>643</v>
      </c>
      <c r="P208" s="50" t="s">
        <v>644</v>
      </c>
      <c r="S208" s="12"/>
    </row>
    <row r="209" s="8" customFormat="1" spans="1:19">
      <c r="A209" s="8" t="s">
        <v>645</v>
      </c>
      <c r="B209" s="8" t="s">
        <v>646</v>
      </c>
      <c r="C209" s="6">
        <v>45278</v>
      </c>
      <c r="D209" s="60"/>
      <c r="E209" s="8" t="s">
        <v>647</v>
      </c>
      <c r="F209" s="8" t="s">
        <v>295</v>
      </c>
      <c r="G209" s="9" t="s">
        <v>25</v>
      </c>
      <c r="H209" s="9">
        <v>1</v>
      </c>
      <c r="I209" s="9">
        <v>20</v>
      </c>
      <c r="J209" s="9">
        <v>6</v>
      </c>
      <c r="K209" s="9">
        <f t="shared" si="4"/>
        <v>120</v>
      </c>
      <c r="L209" s="6">
        <v>45279</v>
      </c>
      <c r="M209" s="12" t="s">
        <v>648</v>
      </c>
      <c r="N209" s="20">
        <v>0</v>
      </c>
      <c r="O209" s="12" t="s">
        <v>649</v>
      </c>
      <c r="S209" s="12"/>
    </row>
    <row r="210" s="8" customFormat="1" spans="1:19">
      <c r="A210" s="8" t="s">
        <v>21</v>
      </c>
      <c r="B210" s="8" t="s">
        <v>22</v>
      </c>
      <c r="C210" s="6">
        <v>45278</v>
      </c>
      <c r="D210" s="60"/>
      <c r="E210" s="8" t="s">
        <v>650</v>
      </c>
      <c r="F210" s="8" t="s">
        <v>24</v>
      </c>
      <c r="G210" s="9" t="s">
        <v>25</v>
      </c>
      <c r="H210" s="9">
        <v>3</v>
      </c>
      <c r="I210" s="9">
        <v>44</v>
      </c>
      <c r="J210" s="9">
        <v>22</v>
      </c>
      <c r="K210" s="9">
        <f t="shared" si="4"/>
        <v>968</v>
      </c>
      <c r="L210" s="6">
        <v>45278</v>
      </c>
      <c r="M210" s="12" t="s">
        <v>651</v>
      </c>
      <c r="N210" s="20">
        <v>0</v>
      </c>
      <c r="O210" s="12" t="s">
        <v>652</v>
      </c>
      <c r="S210" s="12"/>
    </row>
    <row r="211" s="8" customFormat="1" spans="1:19">
      <c r="A211" s="8" t="s">
        <v>21</v>
      </c>
      <c r="B211" s="8" t="s">
        <v>22</v>
      </c>
      <c r="C211" s="6">
        <v>45278</v>
      </c>
      <c r="D211" s="60"/>
      <c r="E211" s="8" t="s">
        <v>650</v>
      </c>
      <c r="F211" s="8" t="s">
        <v>89</v>
      </c>
      <c r="G211" s="9" t="s">
        <v>25</v>
      </c>
      <c r="H211" s="9">
        <v>3</v>
      </c>
      <c r="I211" s="9">
        <v>44</v>
      </c>
      <c r="J211" s="9">
        <v>5</v>
      </c>
      <c r="K211" s="9">
        <f t="shared" si="4"/>
        <v>220</v>
      </c>
      <c r="L211" s="6">
        <v>45278</v>
      </c>
      <c r="M211" s="12" t="s">
        <v>653</v>
      </c>
      <c r="N211" s="20">
        <v>0</v>
      </c>
      <c r="O211" s="12" t="s">
        <v>654</v>
      </c>
      <c r="S211" s="12"/>
    </row>
    <row r="212" s="8" customFormat="1" spans="1:19">
      <c r="A212" s="8" t="s">
        <v>43</v>
      </c>
      <c r="B212" s="8" t="s">
        <v>44</v>
      </c>
      <c r="C212" s="6">
        <v>45279</v>
      </c>
      <c r="D212" s="60"/>
      <c r="E212" s="8" t="s">
        <v>655</v>
      </c>
      <c r="F212" s="8" t="s">
        <v>54</v>
      </c>
      <c r="G212" s="9" t="s">
        <v>25</v>
      </c>
      <c r="H212" s="9">
        <v>1</v>
      </c>
      <c r="I212" s="9">
        <v>22</v>
      </c>
      <c r="J212" s="9">
        <v>150</v>
      </c>
      <c r="K212" s="9">
        <f t="shared" si="4"/>
        <v>3300</v>
      </c>
      <c r="L212" s="6">
        <v>45280</v>
      </c>
      <c r="M212" s="12" t="s">
        <v>656</v>
      </c>
      <c r="N212" s="20">
        <v>0</v>
      </c>
      <c r="O212" s="12" t="s">
        <v>657</v>
      </c>
      <c r="S212" s="12"/>
    </row>
    <row r="213" s="8" customFormat="1" spans="1:19">
      <c r="A213" s="8" t="s">
        <v>33</v>
      </c>
      <c r="B213" s="8" t="s">
        <v>34</v>
      </c>
      <c r="C213" s="6">
        <v>45281</v>
      </c>
      <c r="D213" s="60"/>
      <c r="E213" s="8" t="s">
        <v>221</v>
      </c>
      <c r="F213" s="8" t="s">
        <v>54</v>
      </c>
      <c r="G213" s="9" t="s">
        <v>25</v>
      </c>
      <c r="H213" s="9">
        <v>1</v>
      </c>
      <c r="I213" s="9">
        <v>12</v>
      </c>
      <c r="J213" s="9">
        <v>200</v>
      </c>
      <c r="K213" s="9">
        <f t="shared" si="4"/>
        <v>2400</v>
      </c>
      <c r="L213" s="6">
        <v>45281</v>
      </c>
      <c r="M213" s="12" t="s">
        <v>658</v>
      </c>
      <c r="N213" s="20">
        <v>0</v>
      </c>
      <c r="O213" s="12" t="s">
        <v>659</v>
      </c>
      <c r="P213" s="50" t="s">
        <v>660</v>
      </c>
      <c r="S213" s="12"/>
    </row>
    <row r="214" s="8" customFormat="1" spans="1:19">
      <c r="A214" s="8" t="s">
        <v>33</v>
      </c>
      <c r="B214" s="8" t="s">
        <v>100</v>
      </c>
      <c r="C214" s="6">
        <v>45281</v>
      </c>
      <c r="D214" s="60"/>
      <c r="E214" s="8" t="s">
        <v>136</v>
      </c>
      <c r="F214" s="8" t="s">
        <v>54</v>
      </c>
      <c r="G214" s="9" t="s">
        <v>25</v>
      </c>
      <c r="H214" s="9">
        <v>1</v>
      </c>
      <c r="I214" s="9">
        <v>15</v>
      </c>
      <c r="J214" s="9">
        <v>20</v>
      </c>
      <c r="K214" s="9">
        <f t="shared" si="4"/>
        <v>300</v>
      </c>
      <c r="L214" s="6">
        <v>45281</v>
      </c>
      <c r="M214" s="12" t="s">
        <v>661</v>
      </c>
      <c r="N214" s="20">
        <v>0</v>
      </c>
      <c r="O214" s="12" t="s">
        <v>662</v>
      </c>
      <c r="S214" s="12"/>
    </row>
    <row r="215" s="8" customFormat="1" spans="1:19">
      <c r="A215" s="8" t="s">
        <v>33</v>
      </c>
      <c r="B215" s="8" t="s">
        <v>100</v>
      </c>
      <c r="C215" s="6">
        <v>45282</v>
      </c>
      <c r="D215" s="60"/>
      <c r="E215" s="8" t="s">
        <v>663</v>
      </c>
      <c r="F215" s="8" t="s">
        <v>54</v>
      </c>
      <c r="G215" s="9" t="s">
        <v>25</v>
      </c>
      <c r="H215" s="9">
        <v>1</v>
      </c>
      <c r="I215" s="9">
        <v>15</v>
      </c>
      <c r="J215" s="9">
        <v>10</v>
      </c>
      <c r="K215" s="9">
        <f t="shared" si="4"/>
        <v>150</v>
      </c>
      <c r="L215" s="6">
        <v>45285</v>
      </c>
      <c r="M215" s="12" t="s">
        <v>664</v>
      </c>
      <c r="N215" s="20">
        <v>0</v>
      </c>
      <c r="O215" s="12" t="s">
        <v>665</v>
      </c>
      <c r="S215" s="12"/>
    </row>
    <row r="216" s="8" customFormat="1" spans="1:19">
      <c r="A216" s="8" t="s">
        <v>28</v>
      </c>
      <c r="B216" s="8" t="s">
        <v>29</v>
      </c>
      <c r="C216" s="6">
        <v>45285</v>
      </c>
      <c r="D216" s="60"/>
      <c r="E216" s="8" t="s">
        <v>307</v>
      </c>
      <c r="F216" s="8" t="s">
        <v>31</v>
      </c>
      <c r="G216" s="9" t="s">
        <v>25</v>
      </c>
      <c r="H216" s="44">
        <v>1</v>
      </c>
      <c r="I216" s="9">
        <v>15</v>
      </c>
      <c r="J216" s="9">
        <v>354</v>
      </c>
      <c r="K216" s="9">
        <f t="shared" si="4"/>
        <v>5310</v>
      </c>
      <c r="L216" s="6">
        <v>45286</v>
      </c>
      <c r="M216" s="12" t="s">
        <v>666</v>
      </c>
      <c r="N216" s="20">
        <v>0</v>
      </c>
      <c r="O216" s="76" t="s">
        <v>667</v>
      </c>
      <c r="P216" s="50" t="s">
        <v>668</v>
      </c>
      <c r="S216" s="12"/>
    </row>
    <row r="217" s="8" customFormat="1" spans="1:19">
      <c r="A217" s="8" t="s">
        <v>21</v>
      </c>
      <c r="B217" s="8" t="s">
        <v>22</v>
      </c>
      <c r="C217" s="6">
        <v>45285</v>
      </c>
      <c r="D217" s="60"/>
      <c r="E217" s="8" t="s">
        <v>669</v>
      </c>
      <c r="F217" s="8" t="s">
        <v>155</v>
      </c>
      <c r="G217" s="9" t="s">
        <v>25</v>
      </c>
      <c r="H217" s="9">
        <v>5</v>
      </c>
      <c r="I217" s="9">
        <v>42</v>
      </c>
      <c r="J217" s="9">
        <v>70</v>
      </c>
      <c r="K217" s="9">
        <f t="shared" si="4"/>
        <v>2940</v>
      </c>
      <c r="L217" s="6">
        <v>45289</v>
      </c>
      <c r="M217" s="12" t="s">
        <v>670</v>
      </c>
      <c r="N217" s="20">
        <v>0</v>
      </c>
      <c r="O217" s="12" t="s">
        <v>671</v>
      </c>
      <c r="S217" s="12"/>
    </row>
    <row r="218" s="8" customFormat="1" spans="1:19">
      <c r="A218" s="8" t="s">
        <v>51</v>
      </c>
      <c r="B218" s="8" t="s">
        <v>476</v>
      </c>
      <c r="C218" s="6">
        <v>45289</v>
      </c>
      <c r="D218" s="60"/>
      <c r="E218" s="8" t="s">
        <v>518</v>
      </c>
      <c r="F218" s="8" t="s">
        <v>48</v>
      </c>
      <c r="G218" s="9" t="s">
        <v>49</v>
      </c>
      <c r="H218" s="9"/>
      <c r="I218" s="9">
        <v>20</v>
      </c>
      <c r="J218" s="9">
        <v>250</v>
      </c>
      <c r="K218" s="9">
        <f t="shared" si="4"/>
        <v>5000</v>
      </c>
      <c r="L218" s="6">
        <v>45289</v>
      </c>
      <c r="M218" s="12" t="s">
        <v>672</v>
      </c>
      <c r="N218" s="20">
        <v>0</v>
      </c>
      <c r="O218" s="12" t="s">
        <v>673</v>
      </c>
      <c r="S218" s="12"/>
    </row>
    <row r="219" s="35" customFormat="1" spans="1:19">
      <c r="A219" s="35" t="s">
        <v>33</v>
      </c>
      <c r="B219" s="35" t="s">
        <v>34</v>
      </c>
      <c r="C219" s="79">
        <v>45293</v>
      </c>
      <c r="D219" s="80"/>
      <c r="E219" s="35" t="s">
        <v>273</v>
      </c>
      <c r="F219" s="35" t="s">
        <v>48</v>
      </c>
      <c r="G219" s="81" t="s">
        <v>49</v>
      </c>
      <c r="H219" s="81"/>
      <c r="I219" s="81">
        <v>50</v>
      </c>
      <c r="J219" s="81">
        <v>2</v>
      </c>
      <c r="K219" s="81">
        <f t="shared" si="4"/>
        <v>100</v>
      </c>
      <c r="L219" s="79">
        <v>45297</v>
      </c>
      <c r="M219" s="35" t="s">
        <v>674</v>
      </c>
      <c r="N219" s="82">
        <v>0</v>
      </c>
      <c r="O219" s="83" t="s">
        <v>675</v>
      </c>
      <c r="S219" s="83"/>
    </row>
    <row r="220" s="8" customFormat="1" spans="1:19">
      <c r="A220" s="8" t="s">
        <v>51</v>
      </c>
      <c r="B220" s="8" t="s">
        <v>476</v>
      </c>
      <c r="C220" s="6">
        <v>45296</v>
      </c>
      <c r="D220" s="60"/>
      <c r="E220" s="8" t="s">
        <v>63</v>
      </c>
      <c r="F220" s="8" t="s">
        <v>54</v>
      </c>
      <c r="G220" s="9" t="s">
        <v>25</v>
      </c>
      <c r="H220" s="9">
        <v>1</v>
      </c>
      <c r="I220" s="9">
        <v>8</v>
      </c>
      <c r="J220" s="9">
        <v>200</v>
      </c>
      <c r="K220" s="9">
        <f t="shared" si="4"/>
        <v>1600</v>
      </c>
      <c r="L220" s="6">
        <v>45297</v>
      </c>
      <c r="M220" s="8" t="s">
        <v>674</v>
      </c>
      <c r="N220" s="20">
        <v>0</v>
      </c>
      <c r="O220" s="12" t="s">
        <v>676</v>
      </c>
      <c r="S220" s="12"/>
    </row>
    <row r="221" s="8" customFormat="1" spans="1:19">
      <c r="A221" s="8" t="s">
        <v>28</v>
      </c>
      <c r="B221" s="8" t="s">
        <v>29</v>
      </c>
      <c r="C221" s="6">
        <v>45300</v>
      </c>
      <c r="D221" s="60"/>
      <c r="E221" s="8" t="s">
        <v>677</v>
      </c>
      <c r="F221" s="8" t="s">
        <v>48</v>
      </c>
      <c r="G221" s="9" t="s">
        <v>49</v>
      </c>
      <c r="H221" s="9"/>
      <c r="I221" s="9">
        <v>30</v>
      </c>
      <c r="J221" s="9">
        <v>120</v>
      </c>
      <c r="K221" s="9">
        <f t="shared" si="4"/>
        <v>3600</v>
      </c>
      <c r="L221" s="6">
        <v>45301</v>
      </c>
      <c r="M221" s="8" t="s">
        <v>678</v>
      </c>
      <c r="N221" s="20">
        <v>0</v>
      </c>
      <c r="O221" s="12" t="s">
        <v>679</v>
      </c>
      <c r="S221" s="12"/>
    </row>
    <row r="222" s="8" customFormat="1" spans="1:19">
      <c r="A222" s="8" t="s">
        <v>51</v>
      </c>
      <c r="B222" s="8" t="s">
        <v>118</v>
      </c>
      <c r="C222" s="6">
        <v>45301</v>
      </c>
      <c r="D222" s="60"/>
      <c r="E222" s="8" t="s">
        <v>680</v>
      </c>
      <c r="F222" s="8" t="s">
        <v>48</v>
      </c>
      <c r="G222" s="9" t="s">
        <v>49</v>
      </c>
      <c r="H222" s="9"/>
      <c r="I222" s="9">
        <v>40</v>
      </c>
      <c r="J222" s="9">
        <v>2</v>
      </c>
      <c r="K222" s="9">
        <f t="shared" si="4"/>
        <v>80</v>
      </c>
      <c r="L222" s="6">
        <v>45306</v>
      </c>
      <c r="M222" s="8" t="s">
        <v>681</v>
      </c>
      <c r="N222" s="20">
        <v>0</v>
      </c>
      <c r="O222" s="12" t="s">
        <v>682</v>
      </c>
      <c r="S222" s="12"/>
    </row>
    <row r="223" s="8" customFormat="1" ht="43.5" spans="1:19">
      <c r="A223" s="8" t="s">
        <v>33</v>
      </c>
      <c r="B223" s="8" t="s">
        <v>683</v>
      </c>
      <c r="C223" s="6">
        <v>45301</v>
      </c>
      <c r="E223" s="8" t="s">
        <v>684</v>
      </c>
      <c r="F223" s="8" t="s">
        <v>685</v>
      </c>
      <c r="G223" s="9" t="s">
        <v>25</v>
      </c>
      <c r="H223" s="9"/>
      <c r="I223" s="9">
        <v>35140</v>
      </c>
      <c r="J223" s="9">
        <v>1</v>
      </c>
      <c r="K223" s="9">
        <f t="shared" si="4"/>
        <v>35140</v>
      </c>
      <c r="L223" s="6"/>
      <c r="N223" s="20">
        <v>0</v>
      </c>
      <c r="O223" s="12"/>
      <c r="P223" s="75" t="s">
        <v>686</v>
      </c>
      <c r="S223" s="12"/>
    </row>
    <row r="224" s="8" customFormat="1" spans="1:19">
      <c r="A224" s="8" t="s">
        <v>28</v>
      </c>
      <c r="B224" s="8" t="s">
        <v>29</v>
      </c>
      <c r="C224" s="6">
        <v>45307</v>
      </c>
      <c r="E224" s="8" t="s">
        <v>687</v>
      </c>
      <c r="F224" s="8" t="s">
        <v>54</v>
      </c>
      <c r="G224" s="9" t="s">
        <v>25</v>
      </c>
      <c r="H224" s="9"/>
      <c r="I224" s="9">
        <v>15</v>
      </c>
      <c r="J224" s="9">
        <v>20</v>
      </c>
      <c r="K224" s="9">
        <f t="shared" si="4"/>
        <v>300</v>
      </c>
      <c r="L224" s="6"/>
      <c r="N224" s="20">
        <v>0</v>
      </c>
      <c r="O224" s="12"/>
      <c r="S224" s="12"/>
    </row>
    <row r="225" s="8" customFormat="1" spans="3:19">
      <c r="C225" s="6"/>
      <c r="G225" s="9"/>
      <c r="H225" s="9"/>
      <c r="I225" s="9"/>
      <c r="J225" s="9"/>
      <c r="K225" s="9"/>
      <c r="L225" s="6"/>
      <c r="N225" s="20">
        <v>0</v>
      </c>
      <c r="O225" s="12"/>
      <c r="S225" s="12"/>
    </row>
    <row r="226" s="8" customFormat="1" spans="3:19">
      <c r="C226" s="6"/>
      <c r="G226" s="9"/>
      <c r="H226" s="9"/>
      <c r="I226" s="9"/>
      <c r="J226" s="9"/>
      <c r="K226" s="9"/>
      <c r="L226" s="6"/>
      <c r="N226" s="20"/>
      <c r="O226" s="12"/>
      <c r="S226" s="12"/>
    </row>
    <row r="227" s="8" customFormat="1" spans="3:19">
      <c r="C227" s="6"/>
      <c r="G227" s="9"/>
      <c r="H227" s="9"/>
      <c r="I227" s="9"/>
      <c r="J227" s="9"/>
      <c r="K227" s="9"/>
      <c r="L227" s="6"/>
      <c r="N227" s="20"/>
      <c r="O227" s="12"/>
      <c r="S227" s="12"/>
    </row>
    <row r="228" s="8" customFormat="1" spans="3:19">
      <c r="C228" s="6"/>
      <c r="G228" s="9"/>
      <c r="H228" s="9"/>
      <c r="I228" s="9"/>
      <c r="J228" s="9"/>
      <c r="K228" s="9"/>
      <c r="L228" s="6"/>
      <c r="N228" s="20"/>
      <c r="O228" s="12"/>
      <c r="S228" s="12"/>
    </row>
    <row r="229" s="8" customFormat="1" spans="3:19">
      <c r="C229" s="6"/>
      <c r="G229" s="9"/>
      <c r="H229" s="9"/>
      <c r="I229" s="9"/>
      <c r="J229" s="9"/>
      <c r="K229" s="9"/>
      <c r="L229" s="6"/>
      <c r="N229" s="20"/>
      <c r="O229" s="12"/>
      <c r="S229" s="12"/>
    </row>
    <row r="230" s="8" customFormat="1" spans="3:19">
      <c r="C230" s="6"/>
      <c r="G230" s="9"/>
      <c r="H230" s="9"/>
      <c r="I230" s="9"/>
      <c r="J230" s="9"/>
      <c r="K230" s="9"/>
      <c r="L230" s="6"/>
      <c r="M230" s="9"/>
      <c r="N230" s="20"/>
      <c r="O230" s="12"/>
      <c r="S230" s="12"/>
    </row>
  </sheetData>
  <sheetProtection formatCells="0" insertHyperlinks="0" autoFilter="0"/>
  <autoFilter xmlns:etc="http://www.wps.cn/officeDocument/2017/etCustomData" ref="A1:S230" etc:filterBottomFollowUsedRange="1">
    <extLst/>
  </autoFilter>
  <dataValidations count="6">
    <dataValidation type="date" operator="greaterThanOrEqual" allowBlank="1" showErrorMessage="1" errorTitle="输入内容有误" error="请输入正确的日期" sqref="C2:C1048576 L2:L1048576">
      <formula1>1</formula1>
    </dataValidation>
    <dataValidation type="list" allowBlank="1" showErrorMessage="1" errorTitle="错误提示" error="请输入下拉列表中的一个值" sqref="F2:F230">
      <formula1>"WPS Office For Business(1Y),WPS Office For Business(2Y),WPS Office For Business(3Y),WPS Office For Business(lifetime),WPS Pro(1Y),WPS Pro(2Y),WPS Pro(3Y),PDF Pro For Business(1Y),PDF Pro For Business(2Y),PDF Pro For Business(3Y),WPS预览编辑服务(中台版)"</formula1>
    </dataValidation>
    <dataValidation type="list" allowBlank="1" showInputMessage="1" showErrorMessage="1" sqref="F231:F1845">
      <formula1>"WPS Office For Business(1Y),WPS Office For Business(2Y),WPS Office For Business(3Y),WPS Office For Business(lifetime),WPS Pro(1Y),WPS Pro(2Y),WPS Pro(3Y),PDF Pro For Business(1Y),PDF Pro For Business(2Y),PDF Pro For Business(3Y)"</formula1>
    </dataValidation>
    <dataValidation type="list" allowBlank="1" showInputMessage="1" showErrorMessage="1" sqref="G2:G1124">
      <formula1>"Rental,Lifetime"</formula1>
    </dataValidation>
    <dataValidation type="list" allowBlank="1" showInputMessage="1" showErrorMessage="1" sqref="H2:H2045">
      <formula1>"1,2,3,5,lifetime"</formula1>
    </dataValidation>
    <dataValidation type="custom" allowBlank="1" showErrorMessage="1" errorTitle="输入内容有误" error="请选择勾选或取消勾选" sqref="N2:N1048576">
      <formula1>IF(TRUE,OR(N2=0,N2=1),"Checkbox")</formula1>
    </dataValidation>
  </dataValidations>
  <hyperlinks>
    <hyperlink ref="E44" r:id="rId1" display="www.crisohio.org"/>
    <hyperlink ref="B44" r:id="rId2" display="sqsystems.com" tooltip="sqsystems.com"/>
    <hyperlink ref="E31" r:id="rId3" display="tmov.com.br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8"/>
  <sheetViews>
    <sheetView topLeftCell="F5" workbookViewId="0">
      <selection activeCell="F5" sqref="F5"/>
    </sheetView>
  </sheetViews>
  <sheetFormatPr defaultColWidth="9.02727272727273" defaultRowHeight="14" outlineLevelCol="5"/>
  <cols>
    <col min="1" max="1" width="17.7909090909091" customWidth="1"/>
    <col min="2" max="2" width="18.9909090909091" customWidth="1"/>
    <col min="3" max="3" width="18.1909090909091" customWidth="1"/>
    <col min="4" max="4" width="30.6272727272727" customWidth="1"/>
    <col min="5" max="5" width="32.6272727272727" customWidth="1"/>
    <col min="6" max="6" width="12.5545454545455" customWidth="1"/>
  </cols>
  <sheetData>
    <row r="1" ht="20.25" customHeight="1" spans="1:4">
      <c r="A1" s="22" t="s">
        <v>688</v>
      </c>
      <c r="B1" s="22"/>
      <c r="C1" s="22"/>
      <c r="D1" t="s">
        <v>689</v>
      </c>
    </row>
    <row r="2" ht="45.75" customHeight="1" spans="1:4">
      <c r="A2" s="23" t="s">
        <v>690</v>
      </c>
      <c r="B2" s="23" t="s">
        <v>691</v>
      </c>
      <c r="C2" s="24" t="s">
        <v>692</v>
      </c>
      <c r="D2" t="s">
        <v>693</v>
      </c>
    </row>
    <row r="3" ht="22.5" spans="1:4">
      <c r="A3" s="25" t="s">
        <v>694</v>
      </c>
      <c r="B3" s="25" t="s">
        <v>694</v>
      </c>
      <c r="C3" s="24"/>
      <c r="D3" t="s">
        <v>695</v>
      </c>
    </row>
    <row r="4" ht="22.85" customHeight="1" spans="1:4">
      <c r="A4" s="26"/>
      <c r="B4" s="26"/>
      <c r="C4" s="27"/>
    </row>
    <row r="5" ht="20.25" customHeight="1" spans="1:4">
      <c r="A5" s="28" t="s">
        <v>696</v>
      </c>
      <c r="B5" s="28"/>
      <c r="C5" s="28"/>
    </row>
    <row r="6" ht="45.75" customHeight="1" spans="1:4">
      <c r="A6" s="29" t="s">
        <v>697</v>
      </c>
      <c r="B6" s="23" t="s">
        <v>698</v>
      </c>
      <c r="C6" s="23" t="s">
        <v>691</v>
      </c>
    </row>
    <row r="7" ht="22.5" spans="1:4">
      <c r="A7" s="29"/>
      <c r="B7" s="25" t="s">
        <v>694</v>
      </c>
      <c r="C7" s="25" t="s">
        <v>694</v>
      </c>
    </row>
    <row r="8" ht="21.5" spans="1:4">
      <c r="A8" s="30"/>
      <c r="B8" s="26"/>
      <c r="C8" s="31"/>
    </row>
    <row r="9" ht="21" spans="1:4">
      <c r="A9" s="28" t="s">
        <v>699</v>
      </c>
      <c r="B9" s="28"/>
      <c r="C9" s="28"/>
    </row>
    <row r="10" ht="38.25" customHeight="1" spans="1:4">
      <c r="A10" s="29" t="s">
        <v>697</v>
      </c>
      <c r="B10" s="23" t="s">
        <v>698</v>
      </c>
      <c r="C10" s="23" t="s">
        <v>691</v>
      </c>
    </row>
    <row r="11" ht="22.5" spans="1:4">
      <c r="A11" s="29"/>
      <c r="B11" s="25" t="s">
        <v>694</v>
      </c>
      <c r="C11" s="25" t="s">
        <v>694</v>
      </c>
    </row>
    <row r="12" ht="21" customHeight="1" spans="1:4">
      <c r="A12" s="30"/>
      <c r="B12" s="26"/>
      <c r="C12" s="31"/>
    </row>
    <row r="13" ht="21" spans="1:4">
      <c r="A13" s="28" t="s">
        <v>700</v>
      </c>
      <c r="B13" s="28"/>
      <c r="C13" s="28"/>
    </row>
    <row r="14" ht="22.5" spans="1:4">
      <c r="A14" s="29" t="s">
        <v>697</v>
      </c>
      <c r="B14" s="23" t="s">
        <v>698</v>
      </c>
      <c r="C14" s="23" t="s">
        <v>691</v>
      </c>
    </row>
    <row r="15" ht="22.5" spans="1:4">
      <c r="A15" s="29"/>
      <c r="B15" s="25" t="s">
        <v>694</v>
      </c>
      <c r="C15" s="25" t="s">
        <v>694</v>
      </c>
    </row>
    <row r="16" ht="21.5" spans="1:4">
      <c r="A16" s="30"/>
      <c r="B16" s="26"/>
      <c r="C16" s="31"/>
    </row>
    <row r="17" ht="21" spans="1:3">
      <c r="A17" s="28" t="s">
        <v>701</v>
      </c>
      <c r="B17" s="28"/>
      <c r="C17" s="28"/>
    </row>
    <row r="18" ht="22.5" spans="1:3">
      <c r="A18" s="29" t="s">
        <v>697</v>
      </c>
      <c r="B18" s="23" t="s">
        <v>698</v>
      </c>
      <c r="C18" s="23" t="s">
        <v>691</v>
      </c>
    </row>
    <row r="19" ht="22.5" spans="1:3">
      <c r="A19" s="29"/>
      <c r="B19" s="25" t="s">
        <v>694</v>
      </c>
      <c r="C19" s="25" t="s">
        <v>694</v>
      </c>
    </row>
    <row r="20" ht="21.5" spans="1:3">
      <c r="A20" s="30"/>
      <c r="B20" s="26"/>
      <c r="C20" s="31"/>
    </row>
    <row r="21" ht="21" spans="1:3">
      <c r="A21" s="28" t="s">
        <v>702</v>
      </c>
      <c r="B21" s="28"/>
      <c r="C21" s="28"/>
    </row>
    <row r="22" ht="22.5" spans="1:3">
      <c r="A22" s="29" t="s">
        <v>697</v>
      </c>
      <c r="B22" s="23" t="s">
        <v>698</v>
      </c>
      <c r="C22" s="23" t="s">
        <v>691</v>
      </c>
    </row>
    <row r="23" ht="22.5" spans="1:3">
      <c r="A23" s="29"/>
      <c r="B23" s="25" t="s">
        <v>694</v>
      </c>
      <c r="C23" s="25" t="s">
        <v>694</v>
      </c>
    </row>
    <row r="24" ht="21.5" spans="1:3">
      <c r="A24" s="30"/>
      <c r="B24" s="26"/>
      <c r="C24" s="31"/>
    </row>
    <row r="25" ht="21" spans="1:3">
      <c r="A25" s="28" t="s">
        <v>703</v>
      </c>
      <c r="B25" s="28"/>
      <c r="C25" s="28"/>
    </row>
    <row r="26" ht="22.5" spans="1:3">
      <c r="A26" s="29" t="s">
        <v>697</v>
      </c>
      <c r="B26" s="23" t="s">
        <v>698</v>
      </c>
      <c r="C26" s="23" t="s">
        <v>691</v>
      </c>
    </row>
    <row r="27" ht="22.5" spans="1:3">
      <c r="A27" s="29"/>
      <c r="B27" s="25" t="s">
        <v>694</v>
      </c>
      <c r="C27" s="25" t="s">
        <v>694</v>
      </c>
    </row>
    <row r="28" ht="21.5" spans="1:3">
      <c r="A28" s="30"/>
      <c r="B28" s="26"/>
      <c r="C28" s="31"/>
    </row>
    <row r="29" ht="21" spans="1:3">
      <c r="A29" s="28" t="s">
        <v>704</v>
      </c>
      <c r="B29" s="28"/>
      <c r="C29" s="28"/>
    </row>
    <row r="30" ht="22.5" spans="1:3">
      <c r="A30" s="29" t="s">
        <v>697</v>
      </c>
      <c r="B30" s="23" t="s">
        <v>698</v>
      </c>
      <c r="C30" s="23" t="s">
        <v>691</v>
      </c>
    </row>
    <row r="31" ht="22.5" spans="1:3">
      <c r="A31" s="29"/>
      <c r="B31" s="25" t="s">
        <v>694</v>
      </c>
      <c r="C31" s="25" t="s">
        <v>694</v>
      </c>
    </row>
    <row r="32" ht="21.5" spans="1:3">
      <c r="A32" s="30"/>
      <c r="B32" s="26"/>
      <c r="C32" s="31"/>
    </row>
    <row r="33" ht="21" spans="1:3">
      <c r="A33" s="28" t="s">
        <v>705</v>
      </c>
      <c r="B33" s="28"/>
      <c r="C33" s="28"/>
    </row>
    <row r="34" ht="22.5" spans="1:3">
      <c r="A34" s="29" t="s">
        <v>697</v>
      </c>
      <c r="B34" s="23" t="s">
        <v>698</v>
      </c>
      <c r="C34" s="23" t="s">
        <v>691</v>
      </c>
    </row>
    <row r="35" ht="22.5" spans="1:3">
      <c r="A35" s="29"/>
      <c r="B35" s="25" t="s">
        <v>694</v>
      </c>
      <c r="C35" s="25" t="s">
        <v>694</v>
      </c>
    </row>
    <row r="36" ht="21.5" spans="1:3">
      <c r="A36" s="30"/>
      <c r="B36" s="26"/>
      <c r="C36" s="31"/>
    </row>
    <row r="37" ht="21" spans="1:3">
      <c r="A37" s="28" t="s">
        <v>706</v>
      </c>
      <c r="B37" s="28"/>
      <c r="C37" s="28"/>
    </row>
    <row r="38" ht="22.5" spans="1:3">
      <c r="A38" s="29" t="s">
        <v>697</v>
      </c>
      <c r="B38" s="23" t="s">
        <v>698</v>
      </c>
      <c r="C38" s="23" t="s">
        <v>691</v>
      </c>
    </row>
    <row r="39" ht="22.5" spans="1:3">
      <c r="A39" s="29"/>
      <c r="B39" s="25" t="s">
        <v>694</v>
      </c>
      <c r="C39" s="25" t="s">
        <v>694</v>
      </c>
    </row>
    <row r="40" ht="21.5" spans="1:3">
      <c r="A40" s="30"/>
      <c r="B40" s="26"/>
      <c r="C40" s="31"/>
    </row>
    <row r="41" ht="21" spans="1:3">
      <c r="A41" s="28" t="s">
        <v>707</v>
      </c>
      <c r="B41" s="28"/>
      <c r="C41" s="28"/>
    </row>
    <row r="42" ht="22.5" spans="1:3">
      <c r="A42" s="29" t="s">
        <v>697</v>
      </c>
      <c r="B42" s="23" t="s">
        <v>698</v>
      </c>
      <c r="C42" s="23" t="s">
        <v>691</v>
      </c>
    </row>
    <row r="43" ht="22.5" spans="1:3">
      <c r="A43" s="29"/>
      <c r="B43" s="25" t="s">
        <v>694</v>
      </c>
      <c r="C43" s="25" t="s">
        <v>694</v>
      </c>
    </row>
    <row r="44" ht="21.5" spans="1:3">
      <c r="A44" s="30"/>
      <c r="B44" s="26"/>
      <c r="C44" s="31"/>
    </row>
    <row r="45" ht="21" spans="1:3">
      <c r="A45" s="28" t="s">
        <v>708</v>
      </c>
      <c r="B45" s="28"/>
      <c r="C45" s="28"/>
    </row>
    <row r="46" ht="22.5" spans="1:3">
      <c r="A46" s="29" t="s">
        <v>697</v>
      </c>
      <c r="B46" s="23" t="s">
        <v>698</v>
      </c>
      <c r="C46" s="23" t="s">
        <v>691</v>
      </c>
    </row>
    <row r="47" ht="22.5" spans="1:3">
      <c r="A47" s="29"/>
      <c r="B47" s="25" t="s">
        <v>694</v>
      </c>
      <c r="C47" s="25" t="s">
        <v>694</v>
      </c>
    </row>
    <row r="48" ht="21.5" spans="1:3">
      <c r="A48" s="30"/>
      <c r="B48" s="26"/>
      <c r="C48" s="31"/>
    </row>
    <row r="49" ht="21" spans="1:6">
      <c r="A49" s="28" t="s">
        <v>709</v>
      </c>
      <c r="B49" s="28"/>
      <c r="C49" s="28"/>
    </row>
    <row r="50" ht="22.5" spans="1:6">
      <c r="A50" s="29" t="s">
        <v>697</v>
      </c>
      <c r="B50" s="23" t="s">
        <v>698</v>
      </c>
      <c r="C50" s="23" t="s">
        <v>691</v>
      </c>
    </row>
    <row r="51" ht="22.5" spans="1:6">
      <c r="A51" s="29"/>
      <c r="B51" s="25" t="s">
        <v>694</v>
      </c>
      <c r="C51" s="25" t="s">
        <v>694</v>
      </c>
    </row>
    <row r="52" ht="21.5" spans="1:6">
      <c r="A52" s="30"/>
      <c r="B52" s="26"/>
      <c r="C52" s="31"/>
    </row>
    <row r="55" spans="1:6">
      <c r="D55" s="10" t="s">
        <v>710</v>
      </c>
    </row>
    <row r="56" spans="1:6">
      <c r="A56" s="10" t="s">
        <v>54</v>
      </c>
      <c r="D56" s="32" t="s">
        <v>711</v>
      </c>
      <c r="E56" s="32" t="s">
        <v>712</v>
      </c>
      <c r="F56" s="32" t="s">
        <v>713</v>
      </c>
    </row>
    <row r="57" spans="1:6">
      <c r="A57" s="10" t="s">
        <v>714</v>
      </c>
      <c r="D57" s="33" t="s">
        <v>715</v>
      </c>
      <c r="E57" s="33" t="s">
        <v>716</v>
      </c>
      <c r="F57" s="34">
        <v>48121</v>
      </c>
    </row>
    <row r="58" spans="1:6">
      <c r="A58" s="10" t="s">
        <v>24</v>
      </c>
      <c r="D58" s="33" t="s">
        <v>717</v>
      </c>
      <c r="E58" s="33" t="s">
        <v>718</v>
      </c>
      <c r="F58" s="34">
        <v>48121</v>
      </c>
    </row>
    <row r="59" spans="1:6">
      <c r="A59" s="10" t="s">
        <v>719</v>
      </c>
      <c r="D59" s="33"/>
      <c r="E59" s="33"/>
      <c r="F59" s="34"/>
    </row>
    <row r="60" spans="1:6">
      <c r="A60" s="10" t="s">
        <v>720</v>
      </c>
      <c r="D60" s="33" t="s">
        <v>721</v>
      </c>
      <c r="E60" s="33" t="s">
        <v>722</v>
      </c>
      <c r="F60" s="34">
        <v>48121</v>
      </c>
    </row>
    <row r="61" spans="1:6">
      <c r="A61" s="10" t="s">
        <v>723</v>
      </c>
      <c r="D61" s="33" t="s">
        <v>724</v>
      </c>
      <c r="E61" s="33" t="s">
        <v>725</v>
      </c>
      <c r="F61" s="34">
        <v>48121</v>
      </c>
    </row>
    <row r="62" spans="1:6">
      <c r="A62" s="10" t="s">
        <v>48</v>
      </c>
      <c r="D62" s="33" t="s">
        <v>726</v>
      </c>
      <c r="E62" s="33" t="s">
        <v>727</v>
      </c>
      <c r="F62" s="34">
        <v>48121</v>
      </c>
    </row>
    <row r="63" spans="1:6">
      <c r="A63" s="10" t="s">
        <v>31</v>
      </c>
      <c r="D63" s="33" t="s">
        <v>728</v>
      </c>
      <c r="E63" s="33" t="s">
        <v>729</v>
      </c>
      <c r="F63" s="34">
        <v>48121</v>
      </c>
    </row>
    <row r="64" spans="1:6">
      <c r="A64" s="10" t="s">
        <v>730</v>
      </c>
    </row>
    <row r="65" spans="1:1">
      <c r="A65" s="10" t="s">
        <v>89</v>
      </c>
    </row>
    <row r="66" spans="1:1">
      <c r="A66" s="10" t="s">
        <v>731</v>
      </c>
    </row>
    <row r="67" spans="1:1">
      <c r="A67" s="10" t="s">
        <v>732</v>
      </c>
    </row>
    <row r="68" spans="1:1">
      <c r="A68" s="10" t="s">
        <v>295</v>
      </c>
    </row>
    <row r="69" spans="1:1">
      <c r="A69" s="10" t="s">
        <v>733</v>
      </c>
    </row>
    <row r="70" spans="1:1">
      <c r="A70" s="10" t="s">
        <v>734</v>
      </c>
    </row>
    <row r="71" spans="1:1">
      <c r="A71" s="10" t="s">
        <v>685</v>
      </c>
    </row>
    <row r="72" spans="1:1">
      <c r="A72" s="10" t="s">
        <v>110</v>
      </c>
    </row>
    <row r="73" spans="1:1">
      <c r="A73" s="10" t="s">
        <v>735</v>
      </c>
    </row>
    <row r="74" spans="1:1">
      <c r="A74" s="10" t="s">
        <v>736</v>
      </c>
    </row>
    <row r="75" spans="1:1">
      <c r="A75" s="10" t="s">
        <v>737</v>
      </c>
    </row>
    <row r="76" spans="1:1">
      <c r="A76" s="10" t="s">
        <v>738</v>
      </c>
    </row>
    <row r="77" spans="1:1">
      <c r="A77" s="10" t="s">
        <v>739</v>
      </c>
    </row>
    <row r="78" spans="1:1">
      <c r="A78" s="10" t="s">
        <v>740</v>
      </c>
    </row>
  </sheetData>
  <sheetProtection formatCells="0" insertHyperlinks="0" autoFilter="0"/>
  <mergeCells count="26">
    <mergeCell ref="A1:C1"/>
    <mergeCell ref="A5:C5"/>
    <mergeCell ref="A9:C9"/>
    <mergeCell ref="A13:C13"/>
    <mergeCell ref="A17:C17"/>
    <mergeCell ref="A21:C21"/>
    <mergeCell ref="A25:C25"/>
    <mergeCell ref="A29:C29"/>
    <mergeCell ref="A33:C33"/>
    <mergeCell ref="A37:C37"/>
    <mergeCell ref="A41:C41"/>
    <mergeCell ref="A45:C45"/>
    <mergeCell ref="A49:C49"/>
    <mergeCell ref="A6:A7"/>
    <mergeCell ref="A10:A11"/>
    <mergeCell ref="A14:A15"/>
    <mergeCell ref="A18:A19"/>
    <mergeCell ref="A22:A23"/>
    <mergeCell ref="A26:A27"/>
    <mergeCell ref="A30:A31"/>
    <mergeCell ref="A34:A35"/>
    <mergeCell ref="A38:A39"/>
    <mergeCell ref="A42:A43"/>
    <mergeCell ref="A46:A47"/>
    <mergeCell ref="A50:A51"/>
    <mergeCell ref="C2:C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topLeftCell="C87" workbookViewId="0">
      <selection activeCell="Q937" sqref="Q937"/>
    </sheetView>
  </sheetViews>
  <sheetFormatPr defaultColWidth="9" defaultRowHeight="14"/>
  <cols>
    <col min="1" max="1" width="10.3727272727273" customWidth="1"/>
    <col min="2" max="2" width="39.1272727272727" customWidth="1"/>
    <col min="3" max="3" width="20.1454545454545" customWidth="1"/>
    <col min="7" max="7" width="32.7545454545455" customWidth="1"/>
  </cols>
  <sheetData>
    <row r="1" ht="14.5" spans="2:9">
      <c r="B1" s="9" t="s">
        <v>741</v>
      </c>
      <c r="C1" s="9" t="s">
        <v>742</v>
      </c>
      <c r="D1" s="9" t="s">
        <v>743</v>
      </c>
      <c r="E1" s="9" t="s">
        <v>744</v>
      </c>
      <c r="F1" s="9" t="s">
        <v>745</v>
      </c>
      <c r="G1" s="9" t="s">
        <v>746</v>
      </c>
      <c r="H1" s="9"/>
      <c r="I1" s="9"/>
    </row>
    <row r="2" ht="14.5" spans="2:9">
      <c r="B2" s="8" t="s">
        <v>747</v>
      </c>
      <c r="C2" s="8" t="s">
        <v>48</v>
      </c>
      <c r="D2" s="9" t="s">
        <v>49</v>
      </c>
      <c r="E2" s="9" t="s">
        <v>748</v>
      </c>
      <c r="F2" s="9">
        <v>2</v>
      </c>
      <c r="G2" s="12" t="s">
        <v>749</v>
      </c>
      <c r="H2" s="9"/>
      <c r="I2" s="9"/>
    </row>
    <row r="3" ht="14.5" spans="2:9">
      <c r="B3" s="8" t="s">
        <v>747</v>
      </c>
      <c r="C3" s="8" t="s">
        <v>48</v>
      </c>
      <c r="D3" s="9" t="s">
        <v>49</v>
      </c>
      <c r="E3" s="9" t="s">
        <v>748</v>
      </c>
      <c r="F3" s="9">
        <v>10</v>
      </c>
      <c r="G3" s="12" t="s">
        <v>750</v>
      </c>
      <c r="H3" s="9"/>
      <c r="I3" s="9"/>
    </row>
    <row r="4" ht="14.5" spans="2:9">
      <c r="B4" s="8" t="s">
        <v>747</v>
      </c>
      <c r="C4" s="8" t="s">
        <v>48</v>
      </c>
      <c r="D4" s="9" t="s">
        <v>49</v>
      </c>
      <c r="E4" s="9" t="s">
        <v>748</v>
      </c>
      <c r="F4" s="9">
        <v>30</v>
      </c>
      <c r="G4" s="12" t="s">
        <v>751</v>
      </c>
      <c r="H4" s="9"/>
      <c r="I4" s="9"/>
    </row>
    <row r="5" ht="14.5" spans="2:9">
      <c r="B5" s="8" t="s">
        <v>374</v>
      </c>
      <c r="C5" s="8" t="s">
        <v>48</v>
      </c>
      <c r="D5" s="9" t="s">
        <v>49</v>
      </c>
      <c r="E5" s="9" t="s">
        <v>748</v>
      </c>
      <c r="F5" s="9">
        <v>20</v>
      </c>
      <c r="G5" s="12" t="s">
        <v>752</v>
      </c>
      <c r="H5" s="9"/>
      <c r="I5" s="9"/>
    </row>
    <row r="6" ht="14.5" spans="2:9">
      <c r="B6" s="8" t="s">
        <v>753</v>
      </c>
      <c r="C6" s="8" t="s">
        <v>48</v>
      </c>
      <c r="D6" s="9" t="s">
        <v>49</v>
      </c>
      <c r="E6" s="9" t="s">
        <v>748</v>
      </c>
      <c r="F6" s="9">
        <v>2</v>
      </c>
      <c r="G6" s="12" t="s">
        <v>754</v>
      </c>
      <c r="H6" s="9"/>
      <c r="I6" s="9"/>
    </row>
    <row r="7" ht="14.5" spans="2:9">
      <c r="B7" s="8" t="s">
        <v>755</v>
      </c>
      <c r="C7" s="8" t="s">
        <v>48</v>
      </c>
      <c r="D7" s="9" t="s">
        <v>49</v>
      </c>
      <c r="E7" s="9" t="s">
        <v>748</v>
      </c>
      <c r="F7" s="9">
        <v>11</v>
      </c>
      <c r="G7" s="12" t="s">
        <v>756</v>
      </c>
      <c r="H7" s="9"/>
      <c r="I7" s="9"/>
    </row>
    <row r="8" ht="14.5" spans="2:9">
      <c r="B8" s="8" t="s">
        <v>755</v>
      </c>
      <c r="C8" s="8" t="s">
        <v>48</v>
      </c>
      <c r="D8" s="9" t="s">
        <v>49</v>
      </c>
      <c r="E8" s="9" t="s">
        <v>748</v>
      </c>
      <c r="F8" s="9">
        <v>4</v>
      </c>
      <c r="G8" s="12" t="s">
        <v>757</v>
      </c>
      <c r="H8" s="9"/>
      <c r="I8" s="9"/>
    </row>
    <row r="9" ht="14.5" spans="2:9">
      <c r="B9" s="8" t="s">
        <v>758</v>
      </c>
      <c r="C9" s="8" t="s">
        <v>48</v>
      </c>
      <c r="D9" s="9" t="s">
        <v>49</v>
      </c>
      <c r="E9" s="9" t="s">
        <v>748</v>
      </c>
      <c r="F9" s="9">
        <v>2</v>
      </c>
      <c r="G9" s="12" t="s">
        <v>759</v>
      </c>
      <c r="H9" s="9"/>
      <c r="I9" s="9"/>
    </row>
    <row r="10" ht="14.5" spans="2:9">
      <c r="B10" s="8" t="s">
        <v>760</v>
      </c>
      <c r="C10" s="8" t="s">
        <v>48</v>
      </c>
      <c r="D10" s="9" t="s">
        <v>49</v>
      </c>
      <c r="E10" s="9" t="s">
        <v>748</v>
      </c>
      <c r="F10" s="9">
        <v>8</v>
      </c>
      <c r="G10" s="12" t="s">
        <v>761</v>
      </c>
      <c r="H10" s="9"/>
      <c r="I10" s="9"/>
    </row>
    <row r="11" ht="14.5" spans="2:9">
      <c r="B11" s="8" t="s">
        <v>753</v>
      </c>
      <c r="C11" s="8" t="s">
        <v>48</v>
      </c>
      <c r="D11" s="9" t="s">
        <v>49</v>
      </c>
      <c r="E11" s="9" t="s">
        <v>748</v>
      </c>
      <c r="F11" s="9">
        <v>1</v>
      </c>
      <c r="G11" s="12" t="s">
        <v>762</v>
      </c>
      <c r="H11" s="9"/>
      <c r="I11" s="9"/>
    </row>
    <row r="12" ht="14.5" spans="2:9">
      <c r="B12" s="8" t="s">
        <v>763</v>
      </c>
      <c r="C12" s="8" t="s">
        <v>48</v>
      </c>
      <c r="D12" s="9" t="s">
        <v>49</v>
      </c>
      <c r="E12" s="9" t="s">
        <v>748</v>
      </c>
      <c r="F12" s="9">
        <v>3</v>
      </c>
      <c r="G12" s="12" t="s">
        <v>764</v>
      </c>
      <c r="H12" s="9"/>
      <c r="I12" s="9"/>
    </row>
    <row r="13" ht="14.5" spans="2:9">
      <c r="B13" s="8" t="s">
        <v>747</v>
      </c>
      <c r="C13" s="8" t="s">
        <v>48</v>
      </c>
      <c r="D13" s="9" t="s">
        <v>49</v>
      </c>
      <c r="E13" s="9" t="s">
        <v>748</v>
      </c>
      <c r="F13" s="9">
        <v>2</v>
      </c>
      <c r="G13" s="12" t="s">
        <v>765</v>
      </c>
      <c r="H13" s="9"/>
      <c r="I13" s="9"/>
    </row>
    <row r="14" ht="14.5" spans="2:9">
      <c r="B14" s="8" t="s">
        <v>755</v>
      </c>
      <c r="C14" s="8" t="s">
        <v>48</v>
      </c>
      <c r="D14" s="9" t="s">
        <v>49</v>
      </c>
      <c r="E14" s="9" t="s">
        <v>748</v>
      </c>
      <c r="F14" s="9">
        <v>3</v>
      </c>
      <c r="G14" s="12" t="s">
        <v>766</v>
      </c>
      <c r="H14" s="9"/>
      <c r="I14" s="9"/>
    </row>
    <row r="15" ht="14.5" spans="2:9">
      <c r="B15" s="8" t="s">
        <v>755</v>
      </c>
      <c r="C15" s="8" t="s">
        <v>48</v>
      </c>
      <c r="D15" s="9" t="s">
        <v>49</v>
      </c>
      <c r="E15" s="9" t="s">
        <v>748</v>
      </c>
      <c r="F15" s="9">
        <v>3</v>
      </c>
      <c r="G15" s="12" t="s">
        <v>767</v>
      </c>
      <c r="H15" s="9"/>
      <c r="I15" s="9"/>
    </row>
    <row r="16" ht="14.5" spans="2:9">
      <c r="B16" s="8" t="s">
        <v>768</v>
      </c>
      <c r="C16" s="8" t="s">
        <v>48</v>
      </c>
      <c r="D16" s="9" t="s">
        <v>49</v>
      </c>
      <c r="E16" s="9" t="s">
        <v>748</v>
      </c>
      <c r="F16" s="9">
        <v>4</v>
      </c>
      <c r="G16" s="12" t="s">
        <v>769</v>
      </c>
    </row>
    <row r="17" ht="14.5" spans="2:14">
      <c r="B17" s="8" t="s">
        <v>770</v>
      </c>
      <c r="C17" s="8" t="s">
        <v>48</v>
      </c>
      <c r="D17" s="9" t="s">
        <v>49</v>
      </c>
      <c r="E17" s="9" t="s">
        <v>748</v>
      </c>
      <c r="F17" s="9">
        <v>3</v>
      </c>
      <c r="G17" s="12" t="s">
        <v>771</v>
      </c>
    </row>
    <row r="18" ht="14.5" spans="2:14">
      <c r="B18" s="8" t="s">
        <v>772</v>
      </c>
      <c r="C18" s="8" t="s">
        <v>48</v>
      </c>
      <c r="D18" s="9" t="s">
        <v>49</v>
      </c>
      <c r="E18" s="9" t="s">
        <v>748</v>
      </c>
      <c r="F18" s="9">
        <v>8</v>
      </c>
      <c r="G18" s="12" t="s">
        <v>773</v>
      </c>
    </row>
    <row r="19" ht="14.5" spans="2:14">
      <c r="B19" s="8" t="s">
        <v>774</v>
      </c>
      <c r="C19" s="8" t="s">
        <v>48</v>
      </c>
      <c r="D19" s="9" t="s">
        <v>49</v>
      </c>
      <c r="E19" s="9" t="s">
        <v>748</v>
      </c>
      <c r="F19" s="9">
        <v>1</v>
      </c>
      <c r="G19" s="12" t="s">
        <v>775</v>
      </c>
    </row>
    <row r="20" ht="14.5" spans="2:14">
      <c r="B20" s="8" t="s">
        <v>776</v>
      </c>
      <c r="C20" s="8" t="s">
        <v>48</v>
      </c>
      <c r="D20" s="9" t="s">
        <v>49</v>
      </c>
      <c r="E20" s="9" t="s">
        <v>748</v>
      </c>
      <c r="F20" s="9">
        <v>3</v>
      </c>
      <c r="G20" s="12" t="s">
        <v>777</v>
      </c>
    </row>
    <row r="21" ht="14.5" spans="2:14">
      <c r="B21" s="8" t="s">
        <v>778</v>
      </c>
      <c r="C21" s="8" t="s">
        <v>48</v>
      </c>
      <c r="D21" s="9" t="s">
        <v>49</v>
      </c>
      <c r="E21" s="9" t="s">
        <v>748</v>
      </c>
      <c r="F21" s="9">
        <v>10</v>
      </c>
      <c r="G21" s="12" t="s">
        <v>779</v>
      </c>
    </row>
    <row r="22" ht="14.5" spans="2:14">
      <c r="B22" s="8" t="s">
        <v>778</v>
      </c>
      <c r="C22" s="8" t="s">
        <v>48</v>
      </c>
      <c r="D22" s="9" t="s">
        <v>49</v>
      </c>
      <c r="E22" s="9" t="s">
        <v>748</v>
      </c>
      <c r="F22" s="9">
        <v>4</v>
      </c>
      <c r="G22" s="12" t="s">
        <v>780</v>
      </c>
    </row>
    <row r="23" ht="14.5" spans="2:14">
      <c r="B23" s="8" t="s">
        <v>781</v>
      </c>
      <c r="C23" s="8" t="s">
        <v>48</v>
      </c>
      <c r="D23" s="9" t="s">
        <v>49</v>
      </c>
      <c r="E23" s="9" t="s">
        <v>748</v>
      </c>
      <c r="F23" s="9">
        <v>58</v>
      </c>
      <c r="G23" s="12" t="s">
        <v>782</v>
      </c>
    </row>
    <row r="24" ht="14.5" spans="2:14">
      <c r="B24" s="8" t="s">
        <v>783</v>
      </c>
      <c r="C24" s="8" t="s">
        <v>48</v>
      </c>
      <c r="D24" s="9" t="s">
        <v>49</v>
      </c>
      <c r="E24" s="9" t="s">
        <v>748</v>
      </c>
      <c r="F24" s="9">
        <v>1</v>
      </c>
      <c r="G24" s="12" t="s">
        <v>784</v>
      </c>
    </row>
    <row r="25" ht="14.5" spans="2:14">
      <c r="B25" s="8" t="s">
        <v>781</v>
      </c>
      <c r="C25" s="8" t="s">
        <v>48</v>
      </c>
      <c r="D25" s="9" t="s">
        <v>49</v>
      </c>
      <c r="E25" s="9" t="s">
        <v>748</v>
      </c>
      <c r="F25" s="9">
        <v>1</v>
      </c>
      <c r="G25" s="12" t="s">
        <v>785</v>
      </c>
      <c r="H25" s="9"/>
      <c r="I25" s="9"/>
    </row>
    <row r="26" ht="14.5" spans="2:14">
      <c r="B26" s="8" t="s">
        <v>374</v>
      </c>
      <c r="C26" s="8" t="s">
        <v>48</v>
      </c>
      <c r="D26" s="9" t="s">
        <v>49</v>
      </c>
      <c r="E26" s="9" t="s">
        <v>748</v>
      </c>
      <c r="F26" s="9">
        <v>2</v>
      </c>
      <c r="G26" s="19" t="s">
        <v>786</v>
      </c>
      <c r="H26" s="9"/>
      <c r="I26" s="9"/>
    </row>
    <row r="27" ht="14.5" spans="2:14">
      <c r="B27" s="8" t="s">
        <v>778</v>
      </c>
      <c r="C27" s="8" t="s">
        <v>48</v>
      </c>
      <c r="D27" s="9" t="s">
        <v>49</v>
      </c>
      <c r="E27" s="9" t="s">
        <v>748</v>
      </c>
      <c r="F27" s="9">
        <v>4</v>
      </c>
      <c r="G27" s="12" t="s">
        <v>787</v>
      </c>
      <c r="H27" s="9"/>
      <c r="I27" s="9"/>
    </row>
    <row r="28" ht="14.5" spans="2:14">
      <c r="B28" s="8" t="s">
        <v>788</v>
      </c>
      <c r="C28" s="8" t="s">
        <v>48</v>
      </c>
      <c r="D28" s="9" t="s">
        <v>49</v>
      </c>
      <c r="E28" s="9" t="s">
        <v>748</v>
      </c>
      <c r="F28" s="9">
        <v>2</v>
      </c>
      <c r="G28" s="12" t="s">
        <v>789</v>
      </c>
      <c r="H28" s="9"/>
      <c r="I28" s="9"/>
    </row>
    <row r="29" ht="14.5" spans="2:14">
      <c r="B29" s="8" t="s">
        <v>770</v>
      </c>
      <c r="C29" s="8" t="s">
        <v>48</v>
      </c>
      <c r="D29" s="9" t="s">
        <v>49</v>
      </c>
      <c r="E29" s="9" t="s">
        <v>748</v>
      </c>
      <c r="F29" s="9">
        <v>1</v>
      </c>
      <c r="G29" s="12" t="s">
        <v>790</v>
      </c>
      <c r="H29" s="9"/>
      <c r="I29" s="9"/>
    </row>
    <row r="30" ht="14.5" spans="2:14">
      <c r="B30" s="8" t="s">
        <v>778</v>
      </c>
      <c r="C30" s="8" t="s">
        <v>48</v>
      </c>
      <c r="D30" s="9" t="s">
        <v>49</v>
      </c>
      <c r="E30" s="9" t="s">
        <v>748</v>
      </c>
      <c r="F30" s="9">
        <v>1</v>
      </c>
      <c r="G30" s="12" t="s">
        <v>791</v>
      </c>
      <c r="H30" s="9"/>
      <c r="I30" s="9"/>
    </row>
    <row r="31" ht="14.5" spans="2:14">
      <c r="B31" s="7" t="s">
        <v>792</v>
      </c>
      <c r="C31" s="8" t="s">
        <v>48</v>
      </c>
      <c r="D31" s="9" t="s">
        <v>49</v>
      </c>
      <c r="E31" s="9" t="s">
        <v>748</v>
      </c>
      <c r="F31" s="9">
        <v>1</v>
      </c>
      <c r="G31" s="12" t="s">
        <v>793</v>
      </c>
      <c r="H31" s="9"/>
      <c r="I31" s="9"/>
      <c r="J31" s="9"/>
      <c r="K31" s="6"/>
      <c r="L31" s="8"/>
      <c r="M31" s="20"/>
      <c r="N31" s="12"/>
    </row>
    <row r="32" ht="14.5" spans="2:14">
      <c r="B32" s="7" t="s">
        <v>794</v>
      </c>
      <c r="C32" s="8" t="s">
        <v>48</v>
      </c>
      <c r="D32" s="9" t="s">
        <v>49</v>
      </c>
      <c r="E32" s="9" t="s">
        <v>748</v>
      </c>
      <c r="F32" s="9">
        <v>12</v>
      </c>
      <c r="G32" s="12" t="s">
        <v>795</v>
      </c>
      <c r="H32" s="9"/>
      <c r="I32" s="9"/>
      <c r="J32" s="9"/>
      <c r="K32" s="6"/>
      <c r="L32" s="8"/>
      <c r="M32" s="20"/>
      <c r="N32" s="12"/>
    </row>
    <row r="33" ht="14.5" spans="2:14">
      <c r="B33" s="7" t="s">
        <v>796</v>
      </c>
      <c r="C33" s="8" t="s">
        <v>48</v>
      </c>
      <c r="D33" s="9" t="s">
        <v>49</v>
      </c>
      <c r="E33" s="9" t="s">
        <v>748</v>
      </c>
      <c r="F33" s="9">
        <v>23</v>
      </c>
      <c r="G33" s="12" t="s">
        <v>797</v>
      </c>
      <c r="H33" s="9"/>
      <c r="I33" s="9"/>
      <c r="J33" s="9"/>
      <c r="K33" s="6"/>
      <c r="L33" s="8"/>
      <c r="M33" s="20"/>
      <c r="N33" s="12"/>
    </row>
    <row r="34" ht="14.5" spans="2:14">
      <c r="B34" s="7" t="s">
        <v>798</v>
      </c>
      <c r="C34" s="8" t="s">
        <v>48</v>
      </c>
      <c r="D34" s="9" t="s">
        <v>49</v>
      </c>
      <c r="E34" s="9" t="s">
        <v>748</v>
      </c>
      <c r="F34" s="9">
        <v>26</v>
      </c>
      <c r="G34" s="12" t="s">
        <v>799</v>
      </c>
      <c r="H34" s="9"/>
      <c r="I34" s="9"/>
      <c r="J34" s="9"/>
      <c r="K34" s="6"/>
      <c r="L34" s="8"/>
      <c r="M34" s="20"/>
      <c r="N34" s="12"/>
    </row>
    <row r="35" ht="14.5" spans="2:14">
      <c r="B35" s="8" t="s">
        <v>798</v>
      </c>
      <c r="C35" s="8" t="s">
        <v>48</v>
      </c>
      <c r="D35" s="9" t="s">
        <v>49</v>
      </c>
      <c r="E35" s="9" t="s">
        <v>748</v>
      </c>
      <c r="F35" s="9">
        <v>17</v>
      </c>
      <c r="G35" s="12" t="s">
        <v>800</v>
      </c>
      <c r="H35" s="9"/>
      <c r="I35" s="9"/>
      <c r="J35" s="9"/>
      <c r="K35" s="6"/>
      <c r="L35" s="8"/>
      <c r="M35" s="20"/>
      <c r="N35" s="12"/>
    </row>
    <row r="36" ht="14.5" spans="2:14">
      <c r="B36" s="8" t="s">
        <v>778</v>
      </c>
      <c r="C36" s="8" t="s">
        <v>48</v>
      </c>
      <c r="D36" s="9" t="s">
        <v>49</v>
      </c>
      <c r="E36" s="9" t="s">
        <v>748</v>
      </c>
      <c r="F36" s="9">
        <v>1</v>
      </c>
      <c r="G36" s="12" t="s">
        <v>801</v>
      </c>
      <c r="H36" s="9"/>
      <c r="I36" s="9"/>
      <c r="J36" s="9"/>
      <c r="K36" s="6"/>
      <c r="L36" s="8"/>
      <c r="M36" s="20"/>
      <c r="N36" s="12"/>
    </row>
    <row r="37" ht="14.5" spans="2:14">
      <c r="B37" s="8" t="s">
        <v>796</v>
      </c>
      <c r="C37" s="8" t="s">
        <v>48</v>
      </c>
      <c r="D37" s="9" t="s">
        <v>49</v>
      </c>
      <c r="E37" s="9" t="s">
        <v>748</v>
      </c>
      <c r="F37" s="9">
        <v>3</v>
      </c>
      <c r="G37" s="12" t="s">
        <v>802</v>
      </c>
      <c r="H37" s="9"/>
      <c r="I37" s="9"/>
      <c r="J37" s="9"/>
      <c r="K37" s="6"/>
      <c r="L37" s="8"/>
      <c r="M37" s="20"/>
      <c r="N37" s="12"/>
    </row>
    <row r="38" ht="14.5" spans="2:14">
      <c r="B38" s="8" t="s">
        <v>778</v>
      </c>
      <c r="C38" s="8" t="s">
        <v>48</v>
      </c>
      <c r="D38" s="9" t="s">
        <v>49</v>
      </c>
      <c r="E38" s="9" t="s">
        <v>748</v>
      </c>
      <c r="F38" s="9">
        <v>2</v>
      </c>
      <c r="G38" s="12" t="s">
        <v>803</v>
      </c>
    </row>
    <row r="39" ht="14.5" spans="2:14">
      <c r="B39" s="8" t="s">
        <v>796</v>
      </c>
      <c r="C39" s="8" t="s">
        <v>48</v>
      </c>
      <c r="D39" s="9" t="s">
        <v>49</v>
      </c>
      <c r="E39" s="9" t="s">
        <v>748</v>
      </c>
      <c r="F39" s="9">
        <v>7</v>
      </c>
      <c r="G39" s="12" t="s">
        <v>804</v>
      </c>
    </row>
    <row r="40" ht="14.5" spans="2:14">
      <c r="B40" s="8" t="s">
        <v>778</v>
      </c>
      <c r="C40" s="8" t="s">
        <v>48</v>
      </c>
      <c r="D40" s="9" t="s">
        <v>49</v>
      </c>
      <c r="E40" s="9" t="s">
        <v>748</v>
      </c>
      <c r="F40" s="9">
        <v>4</v>
      </c>
      <c r="G40" s="12" t="s">
        <v>805</v>
      </c>
    </row>
    <row r="41" ht="14.5" spans="2:14">
      <c r="B41" s="8" t="s">
        <v>806</v>
      </c>
      <c r="C41" s="8" t="s">
        <v>48</v>
      </c>
      <c r="D41" s="9" t="s">
        <v>49</v>
      </c>
      <c r="E41" s="9" t="s">
        <v>748</v>
      </c>
      <c r="F41" s="9">
        <v>7</v>
      </c>
      <c r="G41" s="12" t="s">
        <v>807</v>
      </c>
    </row>
    <row r="42" ht="14.5" spans="2:14">
      <c r="B42" s="8" t="s">
        <v>796</v>
      </c>
      <c r="C42" s="8" t="s">
        <v>48</v>
      </c>
      <c r="D42" s="9" t="s">
        <v>49</v>
      </c>
      <c r="E42" s="9" t="s">
        <v>748</v>
      </c>
      <c r="F42" s="9">
        <v>1</v>
      </c>
      <c r="G42" s="12" t="s">
        <v>808</v>
      </c>
    </row>
    <row r="43" ht="14.5" spans="2:14">
      <c r="B43" s="8" t="s">
        <v>781</v>
      </c>
      <c r="C43" s="8" t="s">
        <v>48</v>
      </c>
      <c r="D43" s="9" t="s">
        <v>49</v>
      </c>
      <c r="E43" s="9" t="s">
        <v>748</v>
      </c>
      <c r="F43" s="9">
        <v>2</v>
      </c>
      <c r="G43" s="12" t="s">
        <v>809</v>
      </c>
    </row>
    <row r="44" ht="14.5" spans="2:14">
      <c r="B44" s="8" t="s">
        <v>810</v>
      </c>
      <c r="C44" s="8" t="s">
        <v>48</v>
      </c>
      <c r="D44" s="9" t="s">
        <v>49</v>
      </c>
      <c r="E44" s="9" t="s">
        <v>748</v>
      </c>
      <c r="F44" s="9">
        <v>2</v>
      </c>
      <c r="G44" s="12" t="s">
        <v>811</v>
      </c>
    </row>
    <row r="45" ht="14.5" spans="2:14">
      <c r="B45" s="8" t="s">
        <v>812</v>
      </c>
      <c r="C45" s="8" t="s">
        <v>48</v>
      </c>
      <c r="D45" s="9" t="s">
        <v>49</v>
      </c>
      <c r="E45" s="9" t="s">
        <v>748</v>
      </c>
      <c r="F45" s="9">
        <v>8</v>
      </c>
      <c r="G45" s="12" t="s">
        <v>813</v>
      </c>
    </row>
    <row r="46" ht="14.5" spans="2:14">
      <c r="B46" s="8" t="s">
        <v>814</v>
      </c>
      <c r="C46" s="8" t="s">
        <v>48</v>
      </c>
      <c r="D46" s="9" t="s">
        <v>49</v>
      </c>
      <c r="E46" s="9" t="s">
        <v>748</v>
      </c>
      <c r="F46" s="9">
        <v>4</v>
      </c>
      <c r="G46" s="12" t="s">
        <v>815</v>
      </c>
    </row>
    <row r="47" ht="14.5" spans="2:14">
      <c r="B47" s="8" t="s">
        <v>816</v>
      </c>
      <c r="C47" s="8" t="s">
        <v>48</v>
      </c>
      <c r="D47" s="9" t="s">
        <v>49</v>
      </c>
      <c r="E47" s="9" t="s">
        <v>748</v>
      </c>
      <c r="F47" s="9">
        <v>6</v>
      </c>
      <c r="G47" s="12" t="s">
        <v>817</v>
      </c>
    </row>
    <row r="48" ht="14.5" spans="2:14">
      <c r="B48" s="8" t="s">
        <v>812</v>
      </c>
      <c r="C48" s="8" t="s">
        <v>48</v>
      </c>
      <c r="D48" s="9" t="s">
        <v>49</v>
      </c>
      <c r="E48" s="9" t="s">
        <v>748</v>
      </c>
      <c r="F48" s="9">
        <v>5</v>
      </c>
      <c r="G48" s="12" t="s">
        <v>818</v>
      </c>
    </row>
    <row r="49" ht="14.5" spans="2:7">
      <c r="B49" s="8" t="s">
        <v>816</v>
      </c>
      <c r="C49" s="8" t="s">
        <v>48</v>
      </c>
      <c r="D49" s="9" t="s">
        <v>49</v>
      </c>
      <c r="E49" s="9" t="s">
        <v>748</v>
      </c>
      <c r="F49" s="9">
        <v>2</v>
      </c>
      <c r="G49" s="12" t="s">
        <v>819</v>
      </c>
    </row>
    <row r="50" ht="14.5" spans="2:7">
      <c r="B50" s="8" t="s">
        <v>812</v>
      </c>
      <c r="C50" s="8" t="s">
        <v>48</v>
      </c>
      <c r="D50" s="9" t="s">
        <v>49</v>
      </c>
      <c r="E50" s="9" t="s">
        <v>748</v>
      </c>
      <c r="F50" s="9">
        <v>15</v>
      </c>
      <c r="G50" s="12" t="s">
        <v>820</v>
      </c>
    </row>
    <row r="51" ht="14.5" spans="2:7">
      <c r="B51" s="8" t="s">
        <v>816</v>
      </c>
      <c r="C51" s="8" t="s">
        <v>48</v>
      </c>
      <c r="D51" s="9" t="s">
        <v>49</v>
      </c>
      <c r="E51" s="9" t="s">
        <v>748</v>
      </c>
      <c r="F51" s="9">
        <v>5</v>
      </c>
      <c r="G51" s="12" t="s">
        <v>821</v>
      </c>
    </row>
    <row r="52" ht="14.5" spans="2:7">
      <c r="B52" s="8" t="s">
        <v>822</v>
      </c>
      <c r="C52" s="8" t="s">
        <v>48</v>
      </c>
      <c r="D52" s="9" t="s">
        <v>49</v>
      </c>
      <c r="E52" s="9" t="s">
        <v>748</v>
      </c>
      <c r="F52" s="9">
        <v>4</v>
      </c>
      <c r="G52" s="12" t="s">
        <v>823</v>
      </c>
    </row>
    <row r="53" ht="14.5" spans="2:7">
      <c r="B53" s="8" t="s">
        <v>824</v>
      </c>
      <c r="C53" s="8" t="s">
        <v>48</v>
      </c>
      <c r="D53" s="9" t="s">
        <v>49</v>
      </c>
      <c r="E53" s="9" t="s">
        <v>748</v>
      </c>
      <c r="F53" s="9">
        <v>5</v>
      </c>
      <c r="G53" s="12" t="s">
        <v>825</v>
      </c>
    </row>
    <row r="54" ht="14.5" spans="2:7">
      <c r="B54" s="8" t="s">
        <v>816</v>
      </c>
      <c r="C54" s="8" t="s">
        <v>48</v>
      </c>
      <c r="D54" s="9" t="s">
        <v>49</v>
      </c>
      <c r="E54" s="9" t="s">
        <v>748</v>
      </c>
      <c r="F54" s="9">
        <v>7</v>
      </c>
      <c r="G54" s="12" t="s">
        <v>826</v>
      </c>
    </row>
    <row r="55" ht="14.5" spans="2:7">
      <c r="B55" s="8" t="s">
        <v>814</v>
      </c>
      <c r="C55" s="8" t="s">
        <v>48</v>
      </c>
      <c r="D55" s="9" t="s">
        <v>49</v>
      </c>
      <c r="E55" s="9" t="s">
        <v>748</v>
      </c>
      <c r="F55" s="9">
        <v>7</v>
      </c>
      <c r="G55" s="12" t="s">
        <v>827</v>
      </c>
    </row>
    <row r="56" ht="14.5" spans="2:7">
      <c r="B56" s="8" t="s">
        <v>828</v>
      </c>
      <c r="C56" s="8" t="s">
        <v>48</v>
      </c>
      <c r="D56" s="9" t="s">
        <v>49</v>
      </c>
      <c r="E56" s="9" t="s">
        <v>748</v>
      </c>
      <c r="F56" s="9">
        <v>2</v>
      </c>
      <c r="G56" s="12" t="s">
        <v>829</v>
      </c>
    </row>
    <row r="57" ht="14.5" spans="2:7">
      <c r="B57" s="8" t="s">
        <v>830</v>
      </c>
      <c r="C57" s="8" t="s">
        <v>48</v>
      </c>
      <c r="D57" s="9" t="s">
        <v>49</v>
      </c>
      <c r="E57" s="9" t="s">
        <v>748</v>
      </c>
      <c r="F57" s="9">
        <v>3</v>
      </c>
      <c r="G57" s="12" t="s">
        <v>831</v>
      </c>
    </row>
    <row r="58" ht="14.5" spans="2:7">
      <c r="B58" s="8" t="s">
        <v>816</v>
      </c>
      <c r="C58" s="8" t="s">
        <v>48</v>
      </c>
      <c r="D58" s="9" t="s">
        <v>49</v>
      </c>
      <c r="E58" s="9" t="s">
        <v>748</v>
      </c>
      <c r="F58" s="9">
        <v>1</v>
      </c>
      <c r="G58" s="12" t="s">
        <v>832</v>
      </c>
    </row>
    <row r="59" ht="14.5" spans="2:7">
      <c r="B59" s="8" t="s">
        <v>814</v>
      </c>
      <c r="C59" s="8" t="s">
        <v>48</v>
      </c>
      <c r="D59" s="9" t="s">
        <v>49</v>
      </c>
      <c r="E59" s="9" t="s">
        <v>748</v>
      </c>
      <c r="F59" s="9">
        <v>7</v>
      </c>
      <c r="G59" s="12" t="s">
        <v>833</v>
      </c>
    </row>
    <row r="60" ht="14.5" spans="2:7">
      <c r="B60" s="8" t="s">
        <v>814</v>
      </c>
      <c r="C60" s="8" t="s">
        <v>48</v>
      </c>
      <c r="D60" s="9" t="s">
        <v>49</v>
      </c>
      <c r="E60" s="9" t="s">
        <v>748</v>
      </c>
      <c r="F60" s="9">
        <v>5</v>
      </c>
      <c r="G60" s="12" t="s">
        <v>834</v>
      </c>
    </row>
    <row r="61" ht="14.5" spans="2:7">
      <c r="B61" s="8" t="s">
        <v>824</v>
      </c>
      <c r="C61" s="8" t="s">
        <v>48</v>
      </c>
      <c r="D61" s="9" t="s">
        <v>49</v>
      </c>
      <c r="E61" s="9" t="s">
        <v>748</v>
      </c>
      <c r="F61" s="9">
        <v>1</v>
      </c>
      <c r="G61" s="12" t="s">
        <v>835</v>
      </c>
    </row>
    <row r="62" ht="14.5" spans="2:7">
      <c r="B62" s="8" t="s">
        <v>812</v>
      </c>
      <c r="C62" s="8" t="s">
        <v>48</v>
      </c>
      <c r="D62" s="9" t="s">
        <v>49</v>
      </c>
      <c r="E62" s="9" t="s">
        <v>748</v>
      </c>
      <c r="F62" s="9">
        <v>10</v>
      </c>
      <c r="G62" s="12" t="s">
        <v>836</v>
      </c>
    </row>
    <row r="63" ht="14.5" spans="2:7">
      <c r="B63" s="8" t="s">
        <v>828</v>
      </c>
      <c r="C63" s="8" t="s">
        <v>48</v>
      </c>
      <c r="D63" s="9" t="s">
        <v>49</v>
      </c>
      <c r="E63" s="9" t="s">
        <v>748</v>
      </c>
      <c r="F63" s="9">
        <v>7</v>
      </c>
      <c r="G63" s="12" t="s">
        <v>837</v>
      </c>
    </row>
    <row r="64" ht="14.5" spans="2:7">
      <c r="B64" s="8" t="s">
        <v>822</v>
      </c>
      <c r="C64" s="8" t="s">
        <v>48</v>
      </c>
      <c r="D64" s="9" t="s">
        <v>49</v>
      </c>
      <c r="E64" s="9" t="s">
        <v>748</v>
      </c>
      <c r="F64" s="9">
        <v>4</v>
      </c>
      <c r="G64" s="12" t="s">
        <v>838</v>
      </c>
    </row>
    <row r="65" ht="14.5" spans="2:7">
      <c r="B65" s="8" t="s">
        <v>816</v>
      </c>
      <c r="C65" s="8" t="s">
        <v>48</v>
      </c>
      <c r="D65" s="9" t="s">
        <v>49</v>
      </c>
      <c r="E65" s="9" t="s">
        <v>748</v>
      </c>
      <c r="F65" s="9">
        <v>7</v>
      </c>
      <c r="G65" s="12" t="s">
        <v>839</v>
      </c>
    </row>
    <row r="66" ht="14.5" spans="2:7">
      <c r="B66" s="8" t="s">
        <v>840</v>
      </c>
      <c r="C66" s="8" t="s">
        <v>48</v>
      </c>
      <c r="D66" s="9" t="s">
        <v>49</v>
      </c>
      <c r="E66" s="9" t="s">
        <v>748</v>
      </c>
      <c r="F66" s="9">
        <v>1</v>
      </c>
      <c r="G66" s="12" t="s">
        <v>841</v>
      </c>
    </row>
    <row r="67" ht="14.5" spans="2:7">
      <c r="B67" s="8" t="s">
        <v>816</v>
      </c>
      <c r="C67" s="8" t="s">
        <v>48</v>
      </c>
      <c r="D67" s="9" t="s">
        <v>49</v>
      </c>
      <c r="E67" s="9" t="s">
        <v>748</v>
      </c>
      <c r="F67" s="9">
        <v>8</v>
      </c>
      <c r="G67" s="12" t="s">
        <v>842</v>
      </c>
    </row>
    <row r="68" ht="14.5" spans="2:7">
      <c r="B68" s="8" t="s">
        <v>814</v>
      </c>
      <c r="C68" s="8" t="s">
        <v>48</v>
      </c>
      <c r="D68" s="9" t="s">
        <v>49</v>
      </c>
      <c r="E68" s="9" t="s">
        <v>748</v>
      </c>
      <c r="F68" s="9">
        <v>8</v>
      </c>
      <c r="G68" s="12" t="s">
        <v>843</v>
      </c>
    </row>
    <row r="69" ht="14.5" spans="2:7">
      <c r="B69" s="8" t="s">
        <v>816</v>
      </c>
      <c r="C69" s="8" t="s">
        <v>48</v>
      </c>
      <c r="D69" s="9" t="s">
        <v>49</v>
      </c>
      <c r="E69" s="9" t="s">
        <v>748</v>
      </c>
      <c r="F69" s="9">
        <v>34</v>
      </c>
      <c r="G69" s="12" t="s">
        <v>844</v>
      </c>
    </row>
    <row r="70" ht="14.5" spans="2:7">
      <c r="B70" s="8" t="s">
        <v>828</v>
      </c>
      <c r="C70" s="8" t="s">
        <v>48</v>
      </c>
      <c r="D70" s="9" t="s">
        <v>49</v>
      </c>
      <c r="E70" s="9" t="s">
        <v>748</v>
      </c>
      <c r="F70" s="9">
        <v>2</v>
      </c>
      <c r="G70" s="12" t="s">
        <v>845</v>
      </c>
    </row>
    <row r="71" ht="14.5" spans="2:7">
      <c r="B71" s="8" t="s">
        <v>816</v>
      </c>
      <c r="C71" s="8" t="s">
        <v>48</v>
      </c>
      <c r="D71" s="9" t="s">
        <v>49</v>
      </c>
      <c r="E71" s="9" t="s">
        <v>748</v>
      </c>
      <c r="F71" s="9">
        <v>4</v>
      </c>
      <c r="G71" s="12" t="s">
        <v>846</v>
      </c>
    </row>
    <row r="72" ht="14.5" spans="2:7">
      <c r="B72" s="8" t="s">
        <v>822</v>
      </c>
      <c r="C72" s="8" t="s">
        <v>48</v>
      </c>
      <c r="D72" s="9" t="s">
        <v>49</v>
      </c>
      <c r="E72" s="9" t="s">
        <v>748</v>
      </c>
      <c r="F72" s="9">
        <v>1</v>
      </c>
      <c r="G72" s="12" t="s">
        <v>847</v>
      </c>
    </row>
    <row r="73" ht="14.5" spans="2:7">
      <c r="B73" s="8" t="s">
        <v>812</v>
      </c>
      <c r="C73" s="8" t="s">
        <v>48</v>
      </c>
      <c r="D73" s="9" t="s">
        <v>49</v>
      </c>
      <c r="E73" s="9" t="s">
        <v>748</v>
      </c>
      <c r="F73" s="9">
        <v>7</v>
      </c>
      <c r="G73" s="12" t="s">
        <v>848</v>
      </c>
    </row>
    <row r="74" ht="14.5" spans="2:7">
      <c r="B74" s="8" t="s">
        <v>816</v>
      </c>
      <c r="C74" s="8" t="s">
        <v>48</v>
      </c>
      <c r="D74" s="9" t="s">
        <v>49</v>
      </c>
      <c r="E74" s="9" t="s">
        <v>748</v>
      </c>
      <c r="F74" s="9">
        <v>57</v>
      </c>
      <c r="G74" s="12" t="s">
        <v>849</v>
      </c>
    </row>
    <row r="75" ht="14.5" spans="2:7">
      <c r="B75" s="8" t="s">
        <v>816</v>
      </c>
      <c r="C75" s="8" t="s">
        <v>48</v>
      </c>
      <c r="D75" s="9" t="s">
        <v>49</v>
      </c>
      <c r="E75" s="9" t="s">
        <v>748</v>
      </c>
      <c r="F75" s="9">
        <v>1</v>
      </c>
      <c r="G75" s="12" t="s">
        <v>850</v>
      </c>
    </row>
    <row r="76" ht="14.5" spans="2:7">
      <c r="B76" s="8" t="s">
        <v>851</v>
      </c>
      <c r="C76" s="8" t="s">
        <v>48</v>
      </c>
      <c r="D76" s="9" t="s">
        <v>49</v>
      </c>
      <c r="E76" s="9" t="s">
        <v>748</v>
      </c>
      <c r="F76" s="9">
        <v>1</v>
      </c>
      <c r="G76" s="12" t="s">
        <v>852</v>
      </c>
    </row>
    <row r="77" ht="14.5" spans="2:7">
      <c r="B77" s="8" t="s">
        <v>822</v>
      </c>
      <c r="C77" s="8" t="s">
        <v>48</v>
      </c>
      <c r="D77" s="9" t="s">
        <v>49</v>
      </c>
      <c r="E77" s="9" t="s">
        <v>748</v>
      </c>
      <c r="F77" s="9">
        <v>4</v>
      </c>
      <c r="G77" s="12" t="s">
        <v>853</v>
      </c>
    </row>
    <row r="78" ht="14.5" spans="2:7">
      <c r="B78" s="8" t="s">
        <v>812</v>
      </c>
      <c r="C78" s="8" t="s">
        <v>48</v>
      </c>
      <c r="D78" s="9" t="s">
        <v>49</v>
      </c>
      <c r="E78" s="9" t="s">
        <v>748</v>
      </c>
      <c r="F78" s="9">
        <v>14</v>
      </c>
      <c r="G78" s="12" t="s">
        <v>854</v>
      </c>
    </row>
    <row r="79" ht="14.5" spans="2:7">
      <c r="B79" s="8" t="s">
        <v>855</v>
      </c>
      <c r="C79" s="8" t="s">
        <v>48</v>
      </c>
      <c r="D79" s="9" t="s">
        <v>49</v>
      </c>
      <c r="E79" s="9" t="s">
        <v>748</v>
      </c>
      <c r="F79" s="9">
        <v>2</v>
      </c>
      <c r="G79" s="12" t="s">
        <v>856</v>
      </c>
    </row>
    <row r="80" ht="14.5" spans="2:7">
      <c r="B80" s="8" t="s">
        <v>828</v>
      </c>
      <c r="C80" s="8" t="s">
        <v>48</v>
      </c>
      <c r="D80" s="9" t="s">
        <v>49</v>
      </c>
      <c r="E80" s="9" t="s">
        <v>748</v>
      </c>
      <c r="F80" s="9">
        <v>2</v>
      </c>
      <c r="G80" s="12" t="s">
        <v>857</v>
      </c>
    </row>
    <row r="81" ht="14.5" spans="1:7">
      <c r="B81" s="8" t="s">
        <v>851</v>
      </c>
      <c r="C81" s="8" t="s">
        <v>48</v>
      </c>
      <c r="D81" s="9" t="s">
        <v>49</v>
      </c>
      <c r="E81" s="9" t="s">
        <v>748</v>
      </c>
      <c r="F81" s="9">
        <v>10</v>
      </c>
      <c r="G81" s="12" t="s">
        <v>858</v>
      </c>
    </row>
    <row r="82" ht="14.5" spans="1:7">
      <c r="B82" s="8" t="s">
        <v>851</v>
      </c>
      <c r="C82" s="8" t="s">
        <v>48</v>
      </c>
      <c r="D82" s="9" t="s">
        <v>49</v>
      </c>
      <c r="E82" s="9" t="s">
        <v>748</v>
      </c>
      <c r="F82" s="9">
        <v>30</v>
      </c>
      <c r="G82" s="12" t="s">
        <v>859</v>
      </c>
    </row>
    <row r="83" ht="14.5" spans="1:7">
      <c r="B83" s="8" t="s">
        <v>851</v>
      </c>
      <c r="C83" s="8" t="s">
        <v>48</v>
      </c>
      <c r="D83" s="9" t="s">
        <v>49</v>
      </c>
      <c r="E83" s="9" t="s">
        <v>748</v>
      </c>
      <c r="F83" s="9">
        <v>3</v>
      </c>
      <c r="G83" s="12" t="s">
        <v>860</v>
      </c>
    </row>
    <row r="84" ht="14.5" spans="1:7">
      <c r="B84" s="8" t="s">
        <v>840</v>
      </c>
      <c r="C84" s="8" t="s">
        <v>48</v>
      </c>
      <c r="D84" s="9" t="s">
        <v>49</v>
      </c>
      <c r="E84" s="9" t="s">
        <v>748</v>
      </c>
      <c r="F84" s="9">
        <v>3</v>
      </c>
      <c r="G84" s="12" t="s">
        <v>861</v>
      </c>
    </row>
    <row r="85" ht="14.5" spans="1:7">
      <c r="B85" s="8" t="s">
        <v>812</v>
      </c>
      <c r="C85" s="8" t="s">
        <v>48</v>
      </c>
      <c r="D85" s="9" t="s">
        <v>49</v>
      </c>
      <c r="E85" s="9" t="s">
        <v>748</v>
      </c>
      <c r="F85" s="9">
        <v>10</v>
      </c>
      <c r="G85" s="12" t="s">
        <v>862</v>
      </c>
    </row>
    <row r="86" ht="14.5" spans="1:7">
      <c r="B86" s="8" t="s">
        <v>863</v>
      </c>
      <c r="C86" s="8" t="s">
        <v>48</v>
      </c>
      <c r="D86" s="9" t="s">
        <v>49</v>
      </c>
      <c r="E86" s="9" t="s">
        <v>748</v>
      </c>
      <c r="F86" s="9">
        <v>1</v>
      </c>
      <c r="G86" s="12" t="s">
        <v>864</v>
      </c>
    </row>
    <row r="87" ht="14.5" spans="1:7">
      <c r="B87" s="8" t="s">
        <v>828</v>
      </c>
      <c r="C87" s="8" t="s">
        <v>48</v>
      </c>
      <c r="D87" s="9" t="s">
        <v>49</v>
      </c>
      <c r="E87" s="9" t="s">
        <v>748</v>
      </c>
      <c r="F87" s="9">
        <v>2</v>
      </c>
      <c r="G87" s="12" t="s">
        <v>865</v>
      </c>
    </row>
    <row r="88" ht="14.5" spans="1:7">
      <c r="A88" s="21">
        <v>45818</v>
      </c>
      <c r="B88" s="8" t="s">
        <v>816</v>
      </c>
      <c r="C88" s="8" t="s">
        <v>48</v>
      </c>
      <c r="D88" s="9" t="s">
        <v>49</v>
      </c>
      <c r="E88" s="9" t="s">
        <v>748</v>
      </c>
      <c r="F88" s="9">
        <v>33</v>
      </c>
      <c r="G88" s="12" t="s">
        <v>866</v>
      </c>
    </row>
    <row r="89" ht="14.5" spans="1:7">
      <c r="B89" s="8" t="s">
        <v>828</v>
      </c>
      <c r="C89" s="8" t="s">
        <v>48</v>
      </c>
      <c r="D89" s="9" t="s">
        <v>49</v>
      </c>
      <c r="E89" s="9" t="s">
        <v>748</v>
      </c>
      <c r="F89" s="9">
        <v>6</v>
      </c>
      <c r="G89" s="12" t="s">
        <v>867</v>
      </c>
    </row>
    <row r="90" ht="14.5" spans="1:7">
      <c r="B90" s="8" t="s">
        <v>816</v>
      </c>
      <c r="C90" s="8" t="s">
        <v>48</v>
      </c>
      <c r="D90" s="9" t="s">
        <v>49</v>
      </c>
      <c r="E90" s="9" t="s">
        <v>748</v>
      </c>
      <c r="F90" s="9">
        <v>57</v>
      </c>
      <c r="G90" s="12" t="s">
        <v>868</v>
      </c>
    </row>
    <row r="91" ht="14.5" spans="1:7">
      <c r="B91" s="8" t="s">
        <v>869</v>
      </c>
      <c r="C91" s="8" t="s">
        <v>48</v>
      </c>
      <c r="D91" s="9" t="s">
        <v>49</v>
      </c>
      <c r="E91" s="9" t="s">
        <v>748</v>
      </c>
      <c r="F91" s="9">
        <v>21</v>
      </c>
      <c r="G91" s="12" t="s">
        <v>870</v>
      </c>
    </row>
    <row r="92" ht="14.5" spans="1:7">
      <c r="A92" s="21">
        <v>45846</v>
      </c>
      <c r="B92" s="8" t="s">
        <v>816</v>
      </c>
      <c r="C92" s="8" t="s">
        <v>48</v>
      </c>
      <c r="D92" s="9" t="s">
        <v>49</v>
      </c>
      <c r="E92" s="9" t="s">
        <v>748</v>
      </c>
      <c r="F92" s="9">
        <v>23</v>
      </c>
      <c r="G92" s="12" t="s">
        <v>871</v>
      </c>
    </row>
    <row r="93" ht="14.5" spans="1:7">
      <c r="B93" s="8" t="s">
        <v>816</v>
      </c>
      <c r="C93" s="8" t="s">
        <v>48</v>
      </c>
      <c r="D93" s="9" t="s">
        <v>49</v>
      </c>
      <c r="E93" s="9" t="s">
        <v>748</v>
      </c>
      <c r="F93" s="9">
        <v>36</v>
      </c>
      <c r="G93" s="12" t="s">
        <v>872</v>
      </c>
    </row>
    <row r="94" ht="14.5" spans="1:7">
      <c r="B94" s="8" t="s">
        <v>855</v>
      </c>
      <c r="C94" s="8" t="s">
        <v>48</v>
      </c>
      <c r="D94" s="9" t="s">
        <v>49</v>
      </c>
      <c r="E94" s="9" t="s">
        <v>748</v>
      </c>
      <c r="F94" s="9">
        <v>14</v>
      </c>
      <c r="G94" s="12" t="s">
        <v>873</v>
      </c>
    </row>
    <row r="95" ht="14.5" spans="1:7">
      <c r="B95" s="8" t="s">
        <v>828</v>
      </c>
      <c r="C95" s="8" t="s">
        <v>48</v>
      </c>
      <c r="D95" s="9" t="s">
        <v>49</v>
      </c>
      <c r="E95" s="9" t="s">
        <v>748</v>
      </c>
      <c r="F95" s="9">
        <v>10</v>
      </c>
      <c r="G95" s="12" t="s">
        <v>874</v>
      </c>
    </row>
    <row r="96" ht="14.5" spans="1:7">
      <c r="B96" s="8" t="s">
        <v>875</v>
      </c>
      <c r="C96" s="8" t="s">
        <v>48</v>
      </c>
      <c r="D96" s="9" t="s">
        <v>49</v>
      </c>
      <c r="E96" s="9" t="s">
        <v>748</v>
      </c>
      <c r="F96" s="9">
        <v>32</v>
      </c>
      <c r="G96" s="12" t="s">
        <v>876</v>
      </c>
    </row>
    <row r="97" ht="14.5" spans="2:7">
      <c r="B97" s="8" t="s">
        <v>877</v>
      </c>
      <c r="C97" s="8" t="s">
        <v>48</v>
      </c>
      <c r="D97" s="9" t="s">
        <v>49</v>
      </c>
      <c r="E97" s="9" t="s">
        <v>748</v>
      </c>
      <c r="F97" s="9">
        <v>4</v>
      </c>
      <c r="G97" s="12" t="s">
        <v>878</v>
      </c>
    </row>
    <row r="98" ht="14.5" spans="2:7">
      <c r="B98" s="8" t="s">
        <v>879</v>
      </c>
      <c r="C98" s="8" t="s">
        <v>48</v>
      </c>
      <c r="D98" s="9" t="s">
        <v>49</v>
      </c>
      <c r="E98" s="9" t="s">
        <v>748</v>
      </c>
      <c r="F98" s="9">
        <v>31</v>
      </c>
      <c r="G98" s="12" t="s">
        <v>880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B1:G98" etc:filterBottomFollowUsedRange="1">
    <extLst/>
  </autoFilter>
  <dataValidations count="5">
    <dataValidation type="list" allowBlank="1" showErrorMessage="1" errorTitle="错误提示" error="请输入下拉列表中的一个值" sqref="C2:C98" errorStyle="information">
      <formula1>汇总表!$A$56:$A$72</formula1>
    </dataValidation>
    <dataValidation type="list" allowBlank="1" showInputMessage="1" showErrorMessage="1" sqref="D2:D98">
      <formula1>"Rental,Lifetime"</formula1>
    </dataValidation>
    <dataValidation type="list" allowBlank="1" showErrorMessage="1" errorTitle="错误提示" error="请输入下拉列表中的一个值" sqref="E2:E98">
      <formula1>"1,2,3,5,10,lifetime"</formula1>
    </dataValidation>
    <dataValidation type="date" operator="greaterThanOrEqual" allowBlank="1" showErrorMessage="1" errorTitle="输入内容有误" error="请输入正确的日期" sqref="K31:K37">
      <formula1>1</formula1>
    </dataValidation>
    <dataValidation type="custom" allowBlank="1" showErrorMessage="1" errorTitle="输入内容有误" error="请选择勾选或取消勾选" sqref="M31:M37">
      <formula1>IF(TRUE,OR(M31=0,M31=1),"Checkbox")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1" sqref="A1"/>
    </sheetView>
  </sheetViews>
  <sheetFormatPr defaultColWidth="9" defaultRowHeight="14" outlineLevelRow="1"/>
  <sheetData>
    <row r="1" s="18" customFormat="1" ht="14.5" spans="1:9">
      <c r="A1" s="18" t="s">
        <v>881</v>
      </c>
    </row>
    <row r="2" ht="14.5" spans="1:9">
      <c r="B2" s="9" t="s">
        <v>741</v>
      </c>
      <c r="C2" s="9" t="s">
        <v>742</v>
      </c>
      <c r="D2" s="9" t="s">
        <v>743</v>
      </c>
      <c r="E2" s="9" t="s">
        <v>744</v>
      </c>
      <c r="F2" s="9" t="s">
        <v>745</v>
      </c>
      <c r="G2" s="9" t="s">
        <v>746</v>
      </c>
      <c r="H2" s="9"/>
      <c r="I2" s="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"/>
  <sheetViews>
    <sheetView workbookViewId="0">
      <selection activeCell="A1" sqref="A1"/>
    </sheetView>
  </sheetViews>
  <sheetFormatPr defaultColWidth="9" defaultRowHeight="14" outlineLevelRow="1" outlineLevelCol="6"/>
  <cols>
    <col min="1" max="1" width="4.15454545454545" customWidth="1"/>
    <col min="2" max="2" width="11.6272727272727" customWidth="1"/>
    <col min="3" max="3" width="29.5" customWidth="1"/>
    <col min="7" max="7" width="32.6272727272727" customWidth="1"/>
  </cols>
  <sheetData>
    <row r="1" ht="14.5" spans="2:7">
      <c r="B1" s="9" t="s">
        <v>741</v>
      </c>
      <c r="C1" s="9" t="s">
        <v>742</v>
      </c>
      <c r="D1" s="9" t="s">
        <v>743</v>
      </c>
      <c r="E1" s="9" t="s">
        <v>744</v>
      </c>
      <c r="F1" s="9" t="s">
        <v>745</v>
      </c>
      <c r="G1" s="9" t="s">
        <v>746</v>
      </c>
    </row>
    <row r="2" ht="14.5" spans="2:7">
      <c r="B2" s="8" t="s">
        <v>882</v>
      </c>
      <c r="C2" s="8" t="s">
        <v>48</v>
      </c>
      <c r="D2" s="9" t="s">
        <v>49</v>
      </c>
      <c r="E2" s="9" t="s">
        <v>748</v>
      </c>
      <c r="F2" s="9">
        <v>200</v>
      </c>
      <c r="G2" s="9" t="s">
        <v>883</v>
      </c>
    </row>
  </sheetData>
  <sheetProtection formatCells="0" formatColumns="0" formatRows="0" insertRows="0" insertColumns="0" insertHyperlinks="0" deleteColumns="0" deleteRows="0" sort="0" autoFilter="0" pivotTables="0"/>
  <dataValidations count="3">
    <dataValidation type="list" allowBlank="1" showErrorMessage="1" errorTitle="错误提示" error="请输入下拉列表中的一个值" sqref="C2" errorStyle="information">
      <formula1>汇总表!$A$56:$A$72</formula1>
    </dataValidation>
    <dataValidation type="list" allowBlank="1" showInputMessage="1" showErrorMessage="1" sqref="D2">
      <formula1>"Rental,Lifetime"</formula1>
    </dataValidation>
    <dataValidation type="list" allowBlank="1" showErrorMessage="1" errorTitle="错误提示" error="请输入下拉列表中的一个值" sqref="E2">
      <formula1>"1,2,3,5,10,lifetime"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"/>
  <sheetViews>
    <sheetView workbookViewId="0">
      <selection activeCell="A1" sqref="A1"/>
    </sheetView>
  </sheetViews>
  <sheetFormatPr defaultColWidth="9" defaultRowHeight="14" outlineLevelRow="1" outlineLevelCol="6"/>
  <cols>
    <col min="1" max="1" width="4.52727272727273" customWidth="1"/>
    <col min="2" max="2" width="20.3727272727273" customWidth="1"/>
    <col min="7" max="7" width="29.6272727272727" customWidth="1"/>
  </cols>
  <sheetData>
    <row r="1" ht="14.5" spans="2:7">
      <c r="B1" s="9" t="s">
        <v>741</v>
      </c>
      <c r="C1" s="9" t="s">
        <v>742</v>
      </c>
      <c r="D1" s="9" t="s">
        <v>743</v>
      </c>
      <c r="E1" s="9" t="s">
        <v>744</v>
      </c>
      <c r="F1" s="9" t="s">
        <v>745</v>
      </c>
      <c r="G1" s="9" t="s">
        <v>746</v>
      </c>
    </row>
    <row r="2" ht="14.5" spans="2:7">
      <c r="B2" s="7" t="s">
        <v>884</v>
      </c>
      <c r="C2" s="8" t="s">
        <v>48</v>
      </c>
      <c r="D2" s="9" t="s">
        <v>49</v>
      </c>
      <c r="E2" s="9" t="s">
        <v>748</v>
      </c>
      <c r="F2" s="12">
        <v>100</v>
      </c>
      <c r="G2" s="12" t="s">
        <v>885</v>
      </c>
    </row>
  </sheetData>
  <sheetProtection formatCells="0" formatColumns="0" formatRows="0" insertRows="0" insertColumns="0" insertHyperlinks="0" deleteColumns="0" deleteRows="0" sort="0" autoFilter="0" pivotTables="0"/>
  <dataValidations count="3">
    <dataValidation type="list" allowBlank="1" showErrorMessage="1" errorTitle="错误提示" error="请输入下拉列表中的一个值" sqref="C2" errorStyle="information">
      <formula1>汇总表!$A$56:$A$72</formula1>
    </dataValidation>
    <dataValidation type="list" allowBlank="1" showInputMessage="1" showErrorMessage="1" sqref="D2">
      <formula1>"Rental,Lifetime"</formula1>
    </dataValidation>
    <dataValidation type="list" allowBlank="1" showErrorMessage="1" errorTitle="错误提示" error="请输入下拉列表中的一个值" sqref="E2">
      <formula1>"1,2,3,5,10,lifetime"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"/>
  <sheetViews>
    <sheetView topLeftCell="G2" workbookViewId="0">
      <selection activeCell="G2" sqref="G2"/>
    </sheetView>
  </sheetViews>
  <sheetFormatPr defaultColWidth="9" defaultRowHeight="14" outlineLevelRow="1" outlineLevelCol="6"/>
  <cols>
    <col min="1" max="1" width="3.77272727272727" customWidth="1"/>
    <col min="2" max="2" width="23.7545454545455" customWidth="1"/>
    <col min="7" max="7" width="31.2545454545455" customWidth="1"/>
  </cols>
  <sheetData>
    <row r="1" ht="14.5" spans="2:7">
      <c r="B1" s="9" t="s">
        <v>741</v>
      </c>
      <c r="C1" s="9" t="s">
        <v>742</v>
      </c>
      <c r="D1" s="9" t="s">
        <v>743</v>
      </c>
      <c r="E1" s="9" t="s">
        <v>744</v>
      </c>
      <c r="F1" s="9" t="s">
        <v>745</v>
      </c>
      <c r="G1" s="9" t="s">
        <v>746</v>
      </c>
    </row>
    <row r="2" ht="14.5" spans="2:7">
      <c r="B2" s="9" t="s">
        <v>884</v>
      </c>
      <c r="C2" s="8" t="s">
        <v>48</v>
      </c>
      <c r="D2" s="9" t="s">
        <v>49</v>
      </c>
      <c r="E2" s="9" t="s">
        <v>748</v>
      </c>
      <c r="F2" s="9">
        <v>100</v>
      </c>
      <c r="G2" s="12" t="s">
        <v>886</v>
      </c>
    </row>
  </sheetData>
  <sheetProtection formatCells="0" formatColumns="0" formatRows="0" insertRows="0" insertColumns="0" insertHyperlinks="0" deleteColumns="0" deleteRows="0" sort="0" autoFilter="0" pivotTables="0"/>
  <dataValidations count="3">
    <dataValidation type="list" allowBlank="1" showErrorMessage="1" errorTitle="错误提示" error="请输入下拉列表中的一个值" sqref="C2" errorStyle="information">
      <formula1>汇总表!$A$56:$A$72</formula1>
    </dataValidation>
    <dataValidation type="list" allowBlank="1" showInputMessage="1" showErrorMessage="1" sqref="D2">
      <formula1>"Rental,Lifetime"</formula1>
    </dataValidation>
    <dataValidation type="list" allowBlank="1" showErrorMessage="1" errorTitle="错误提示" error="请输入下拉列表中的一个值" sqref="E2">
      <formula1>"1,2,3,5,10,lifetime"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4"/>
  <sheetViews>
    <sheetView workbookViewId="0">
      <selection activeCell="A1" sqref="A1"/>
    </sheetView>
  </sheetViews>
  <sheetFormatPr defaultColWidth="9" defaultRowHeight="16.5" outlineLevelRow="3" outlineLevelCol="7"/>
  <cols>
    <col min="1" max="1" width="3.12727272727273" style="13" customWidth="1"/>
    <col min="2" max="2" width="54.1272727272727" style="13" customWidth="1"/>
    <col min="3" max="3" width="29.5" style="13" customWidth="1"/>
    <col min="4" max="5" width="9" style="13"/>
    <col min="6" max="6" width="9" style="14"/>
    <col min="7" max="7" width="32" style="13" customWidth="1"/>
    <col min="8" max="16384" width="9" style="13"/>
  </cols>
  <sheetData>
    <row r="1" spans="2:8">
      <c r="B1" s="15" t="s">
        <v>741</v>
      </c>
      <c r="C1" s="15" t="s">
        <v>742</v>
      </c>
      <c r="D1" s="15" t="s">
        <v>25</v>
      </c>
      <c r="E1" s="15" t="s">
        <v>744</v>
      </c>
      <c r="F1" s="15" t="s">
        <v>745</v>
      </c>
      <c r="G1" s="15" t="s">
        <v>746</v>
      </c>
    </row>
    <row r="2" spans="2:8">
      <c r="B2" s="16" t="s">
        <v>887</v>
      </c>
      <c r="C2" s="8" t="s">
        <v>48</v>
      </c>
      <c r="D2" s="9" t="s">
        <v>49</v>
      </c>
      <c r="E2" s="9" t="s">
        <v>49</v>
      </c>
      <c r="F2" s="14">
        <v>100</v>
      </c>
      <c r="G2" s="12" t="s">
        <v>888</v>
      </c>
      <c r="H2" s="17">
        <v>45505</v>
      </c>
    </row>
    <row r="3" spans="2:8">
      <c r="B3" s="16" t="s">
        <v>889</v>
      </c>
      <c r="C3" s="8" t="s">
        <v>48</v>
      </c>
      <c r="D3" s="9" t="s">
        <v>49</v>
      </c>
      <c r="E3" s="9" t="s">
        <v>49</v>
      </c>
      <c r="F3" s="14">
        <v>10</v>
      </c>
      <c r="G3" s="12" t="s">
        <v>890</v>
      </c>
      <c r="H3" s="17">
        <v>45809</v>
      </c>
    </row>
    <row r="4" spans="2:8">
      <c r="B4" s="16" t="s">
        <v>889</v>
      </c>
      <c r="C4" s="8" t="s">
        <v>48</v>
      </c>
      <c r="D4" s="9" t="s">
        <v>49</v>
      </c>
      <c r="E4" s="9" t="s">
        <v>49</v>
      </c>
      <c r="F4" s="14">
        <v>10</v>
      </c>
      <c r="G4" s="12" t="s">
        <v>891</v>
      </c>
      <c r="H4" s="17">
        <v>45839</v>
      </c>
    </row>
  </sheetData>
  <sheetProtection formatCells="0" formatColumns="0" formatRows="0" insertRows="0" insertColumns="0" insertHyperlinks="0" deleteColumns="0" deleteRows="0" sort="0" autoFilter="0" pivotTables="0"/>
  <dataValidations count="2">
    <dataValidation type="list" allowBlank="1" showErrorMessage="1" errorTitle="错误提示" error="请输入下拉列表中的一个值" sqref="C2:C4" errorStyle="information">
      <formula1>汇总表!$A$56:$A$72</formula1>
    </dataValidation>
    <dataValidation type="list" allowBlank="1" showInputMessage="1" showErrorMessage="1" sqref="D2:E4">
      <formula1>"Rental,Lifetime"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6"/>
  <sheetViews>
    <sheetView workbookViewId="0">
      <selection activeCell="A1" sqref="A1"/>
    </sheetView>
  </sheetViews>
  <sheetFormatPr defaultColWidth="9" defaultRowHeight="14" outlineLevelRow="5" outlineLevelCol="6"/>
  <cols>
    <col min="1" max="1" width="4.02727272727273" customWidth="1"/>
    <col min="2" max="2" width="28.8727272727273" customWidth="1"/>
    <col min="3" max="3" width="29.5" customWidth="1"/>
    <col min="4" max="4" width="7.87272727272727" customWidth="1"/>
    <col min="7" max="7" width="31" customWidth="1"/>
  </cols>
  <sheetData>
    <row r="1" ht="14.5" spans="2:7">
      <c r="B1" s="9" t="s">
        <v>741</v>
      </c>
      <c r="C1" s="9" t="s">
        <v>742</v>
      </c>
      <c r="D1" s="9" t="s">
        <v>743</v>
      </c>
      <c r="E1" s="9" t="s">
        <v>744</v>
      </c>
      <c r="F1" s="9" t="s">
        <v>745</v>
      </c>
      <c r="G1" s="9" t="s">
        <v>746</v>
      </c>
    </row>
    <row r="2" ht="14.5" spans="2:7">
      <c r="B2" s="8" t="s">
        <v>892</v>
      </c>
      <c r="C2" s="8" t="s">
        <v>48</v>
      </c>
      <c r="D2" s="9" t="s">
        <v>49</v>
      </c>
      <c r="E2" s="9" t="s">
        <v>748</v>
      </c>
      <c r="F2" s="9">
        <v>15</v>
      </c>
      <c r="G2" s="12" t="s">
        <v>893</v>
      </c>
    </row>
    <row r="3" ht="14.5" spans="2:7">
      <c r="B3" s="8" t="s">
        <v>894</v>
      </c>
      <c r="C3" s="8" t="s">
        <v>48</v>
      </c>
      <c r="D3" s="9" t="s">
        <v>49</v>
      </c>
      <c r="E3" s="9" t="s">
        <v>748</v>
      </c>
      <c r="F3" s="9">
        <v>28</v>
      </c>
      <c r="G3" s="12" t="s">
        <v>895</v>
      </c>
    </row>
    <row r="4" ht="14.5" spans="2:7">
      <c r="B4" s="8" t="s">
        <v>896</v>
      </c>
      <c r="C4" s="8" t="s">
        <v>48</v>
      </c>
      <c r="D4" s="9" t="s">
        <v>49</v>
      </c>
      <c r="E4" s="9" t="s">
        <v>748</v>
      </c>
      <c r="F4" s="9">
        <v>63</v>
      </c>
      <c r="G4" s="12" t="s">
        <v>897</v>
      </c>
    </row>
    <row r="5" ht="14.5" spans="2:7">
      <c r="B5" s="8" t="s">
        <v>898</v>
      </c>
      <c r="C5" s="8" t="s">
        <v>48</v>
      </c>
      <c r="D5" s="9" t="s">
        <v>49</v>
      </c>
      <c r="E5" s="9" t="s">
        <v>748</v>
      </c>
      <c r="F5" s="9">
        <v>41</v>
      </c>
      <c r="G5" s="12" t="s">
        <v>899</v>
      </c>
    </row>
    <row r="6" ht="14.5" spans="2:7">
      <c r="B6" s="8" t="s">
        <v>892</v>
      </c>
      <c r="C6" s="8" t="s">
        <v>48</v>
      </c>
      <c r="D6" s="9" t="s">
        <v>49</v>
      </c>
      <c r="E6" s="9" t="s">
        <v>748</v>
      </c>
      <c r="F6" s="9">
        <v>77</v>
      </c>
      <c r="G6" s="12" t="s">
        <v>900</v>
      </c>
    </row>
  </sheetData>
  <sheetProtection formatCells="0" formatColumns="0" formatRows="0" insertRows="0" insertColumns="0" insertHyperlinks="0" deleteColumns="0" deleteRows="0" sort="0" autoFilter="0" pivotTables="0"/>
  <dataValidations count="3">
    <dataValidation type="list" allowBlank="1" showErrorMessage="1" errorTitle="错误提示" error="请输入下拉列表中的一个值" sqref="C2:C6" errorStyle="information">
      <formula1>汇总表!$A$56:$A$74</formula1>
    </dataValidation>
    <dataValidation type="list" allowBlank="1" showInputMessage="1" showErrorMessage="1" sqref="D2:D6">
      <formula1>"Rental,Lifetime"</formula1>
    </dataValidation>
    <dataValidation type="list" allowBlank="1" showErrorMessage="1" errorTitle="错误提示" error="请输入下拉列表中的一个值" sqref="E2:E6">
      <formula1>"1,2,3,5,10,lifetime"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3"/>
  <sheetViews>
    <sheetView workbookViewId="0">
      <selection activeCell="P40" sqref="P40:P43"/>
    </sheetView>
  </sheetViews>
  <sheetFormatPr defaultColWidth="9" defaultRowHeight="14"/>
  <cols>
    <col min="1" max="1" width="9.87272727272727"/>
    <col min="2" max="2" width="20.3727272727273" customWidth="1"/>
    <col min="9" max="9" width="24.6272727272727" style="1" customWidth="1"/>
    <col min="12" max="12" width="41.5" customWidth="1"/>
    <col min="14" max="14" width="10" customWidth="1"/>
    <col min="16" max="16" width="8" customWidth="1"/>
  </cols>
  <sheetData>
    <row r="1" ht="52" spans="1:20">
      <c r="A1" s="2" t="s">
        <v>2</v>
      </c>
      <c r="B1" s="3" t="s">
        <v>4</v>
      </c>
      <c r="C1" s="4"/>
      <c r="D1" s="4" t="s">
        <v>8</v>
      </c>
      <c r="E1" s="4" t="s">
        <v>9</v>
      </c>
      <c r="F1" s="4" t="s">
        <v>10</v>
      </c>
      <c r="G1" s="4" t="s">
        <v>11</v>
      </c>
      <c r="H1" s="5" t="s">
        <v>12</v>
      </c>
      <c r="I1" s="4" t="s">
        <v>901</v>
      </c>
      <c r="J1" s="5" t="s">
        <v>902</v>
      </c>
      <c r="L1" s="3" t="s">
        <v>4</v>
      </c>
      <c r="M1" s="4"/>
      <c r="N1" s="4" t="s">
        <v>8</v>
      </c>
      <c r="O1" s="4" t="s">
        <v>9</v>
      </c>
      <c r="P1" s="4" t="s">
        <v>10</v>
      </c>
      <c r="Q1" s="4" t="s">
        <v>11</v>
      </c>
      <c r="R1" s="5" t="s">
        <v>12</v>
      </c>
      <c r="S1" s="5" t="s">
        <v>901</v>
      </c>
      <c r="T1" s="5" t="s">
        <v>902</v>
      </c>
    </row>
    <row r="2" ht="14.5" spans="1:20">
      <c r="A2" s="6">
        <v>45603</v>
      </c>
      <c r="B2" s="7" t="s">
        <v>884</v>
      </c>
      <c r="C2" s="8" t="s">
        <v>48</v>
      </c>
      <c r="D2" s="9" t="s">
        <v>49</v>
      </c>
      <c r="E2" s="9" t="s">
        <v>748</v>
      </c>
      <c r="F2" s="9">
        <v>40</v>
      </c>
      <c r="G2" s="9">
        <v>100</v>
      </c>
      <c r="H2" s="9">
        <v>4000</v>
      </c>
      <c r="I2" s="9">
        <f t="shared" ref="I2:I7" si="0">500-G2</f>
        <v>400</v>
      </c>
      <c r="J2" s="9">
        <f t="shared" ref="J2:J7" si="1">F2*I2</f>
        <v>16000</v>
      </c>
      <c r="L2" s="8" t="s">
        <v>432</v>
      </c>
      <c r="M2" s="8" t="s">
        <v>54</v>
      </c>
      <c r="N2" s="9" t="s">
        <v>25</v>
      </c>
      <c r="O2" s="9">
        <v>1</v>
      </c>
      <c r="P2" s="9">
        <v>15</v>
      </c>
      <c r="Q2" s="9">
        <v>2</v>
      </c>
      <c r="R2" s="9">
        <v>30</v>
      </c>
      <c r="S2" s="9">
        <v>2</v>
      </c>
    </row>
    <row r="3" ht="14.5" spans="1:20">
      <c r="A3" s="6">
        <v>45495</v>
      </c>
      <c r="B3" s="7" t="s">
        <v>374</v>
      </c>
      <c r="C3" s="8" t="s">
        <v>48</v>
      </c>
      <c r="D3" s="9" t="s">
        <v>49</v>
      </c>
      <c r="E3" s="9" t="s">
        <v>748</v>
      </c>
      <c r="F3" s="9">
        <v>40</v>
      </c>
      <c r="G3" s="9">
        <v>337</v>
      </c>
      <c r="H3" s="9">
        <f>F3*G3</f>
        <v>13480</v>
      </c>
      <c r="I3" s="9">
        <f t="shared" si="0"/>
        <v>163</v>
      </c>
      <c r="J3" s="9">
        <f t="shared" si="1"/>
        <v>6520</v>
      </c>
      <c r="L3" s="8" t="s">
        <v>149</v>
      </c>
      <c r="M3" s="8" t="s">
        <v>54</v>
      </c>
      <c r="N3" s="9" t="s">
        <v>25</v>
      </c>
      <c r="O3" s="9">
        <v>1</v>
      </c>
      <c r="P3" s="9">
        <v>12</v>
      </c>
      <c r="Q3" s="9">
        <v>100</v>
      </c>
      <c r="R3" s="9">
        <v>1200</v>
      </c>
      <c r="S3" s="9">
        <v>100</v>
      </c>
    </row>
    <row r="4" ht="14.5" spans="1:20">
      <c r="A4" s="6">
        <v>45603</v>
      </c>
      <c r="B4" s="7" t="s">
        <v>884</v>
      </c>
      <c r="C4" s="8" t="s">
        <v>48</v>
      </c>
      <c r="D4" s="9" t="s">
        <v>49</v>
      </c>
      <c r="E4" s="9" t="s">
        <v>748</v>
      </c>
      <c r="F4" s="9">
        <v>40</v>
      </c>
      <c r="G4" s="9">
        <v>100</v>
      </c>
      <c r="H4" s="9">
        <v>4000</v>
      </c>
      <c r="I4" s="9">
        <f t="shared" si="0"/>
        <v>400</v>
      </c>
      <c r="J4" s="9">
        <f t="shared" si="1"/>
        <v>16000</v>
      </c>
      <c r="L4" s="8" t="s">
        <v>903</v>
      </c>
      <c r="M4" s="8" t="s">
        <v>54</v>
      </c>
      <c r="N4" s="9" t="s">
        <v>25</v>
      </c>
      <c r="O4" s="9">
        <v>1</v>
      </c>
      <c r="P4" s="9">
        <v>12</v>
      </c>
      <c r="Q4" s="9">
        <v>18</v>
      </c>
      <c r="R4" s="9">
        <v>216</v>
      </c>
      <c r="S4" s="9">
        <v>18</v>
      </c>
    </row>
    <row r="5" ht="14.5" spans="1:20">
      <c r="A5" s="6">
        <v>45518</v>
      </c>
      <c r="B5" s="8" t="s">
        <v>889</v>
      </c>
      <c r="C5" s="8" t="s">
        <v>48</v>
      </c>
      <c r="D5" s="9" t="s">
        <v>49</v>
      </c>
      <c r="E5" s="9" t="s">
        <v>748</v>
      </c>
      <c r="F5" s="9">
        <v>48</v>
      </c>
      <c r="G5" s="9">
        <v>100</v>
      </c>
      <c r="H5" s="9">
        <v>4800</v>
      </c>
      <c r="I5" s="9">
        <f t="shared" si="0"/>
        <v>400</v>
      </c>
      <c r="J5" s="9">
        <f t="shared" si="1"/>
        <v>19200</v>
      </c>
      <c r="L5" s="8" t="s">
        <v>904</v>
      </c>
      <c r="M5" s="8" t="s">
        <v>54</v>
      </c>
      <c r="N5" s="9" t="s">
        <v>25</v>
      </c>
      <c r="O5" s="9">
        <v>1</v>
      </c>
      <c r="P5" s="9">
        <v>12</v>
      </c>
      <c r="Q5" s="9">
        <v>10</v>
      </c>
      <c r="R5" s="9">
        <v>120</v>
      </c>
      <c r="S5" s="9">
        <v>10</v>
      </c>
    </row>
    <row r="6" ht="14.5" spans="1:20">
      <c r="A6" s="6">
        <v>45645</v>
      </c>
      <c r="B6" s="8" t="s">
        <v>882</v>
      </c>
      <c r="C6" s="8" t="s">
        <v>48</v>
      </c>
      <c r="D6" s="9" t="s">
        <v>49</v>
      </c>
      <c r="E6" s="9" t="s">
        <v>748</v>
      </c>
      <c r="F6" s="9">
        <v>40</v>
      </c>
      <c r="G6" s="9">
        <v>200</v>
      </c>
      <c r="H6" s="9">
        <v>8000</v>
      </c>
      <c r="I6" s="9">
        <f t="shared" si="0"/>
        <v>300</v>
      </c>
      <c r="J6" s="9">
        <f t="shared" si="1"/>
        <v>12000</v>
      </c>
      <c r="L6" s="8" t="s">
        <v>905</v>
      </c>
      <c r="M6" s="8" t="s">
        <v>54</v>
      </c>
      <c r="N6" s="9" t="s">
        <v>25</v>
      </c>
      <c r="O6" s="9">
        <v>1</v>
      </c>
      <c r="P6" s="9">
        <v>12</v>
      </c>
      <c r="Q6" s="9">
        <v>92</v>
      </c>
      <c r="R6" s="9">
        <v>1104</v>
      </c>
      <c r="S6" s="9">
        <v>92</v>
      </c>
    </row>
    <row r="7" ht="14.5" spans="1:20">
      <c r="A7" s="6">
        <v>45597</v>
      </c>
      <c r="B7" s="7" t="s">
        <v>906</v>
      </c>
      <c r="C7" s="8" t="s">
        <v>48</v>
      </c>
      <c r="D7" s="9" t="s">
        <v>49</v>
      </c>
      <c r="E7" s="9" t="s">
        <v>748</v>
      </c>
      <c r="F7" s="9">
        <v>40</v>
      </c>
      <c r="G7" s="9">
        <v>100</v>
      </c>
      <c r="H7" s="9">
        <v>4000</v>
      </c>
      <c r="I7" s="9">
        <f t="shared" si="0"/>
        <v>400</v>
      </c>
      <c r="J7" s="9">
        <f t="shared" si="1"/>
        <v>16000</v>
      </c>
      <c r="L7" s="8" t="s">
        <v>903</v>
      </c>
      <c r="M7" s="8" t="s">
        <v>54</v>
      </c>
      <c r="N7" s="9" t="s">
        <v>25</v>
      </c>
      <c r="O7" s="9">
        <v>1</v>
      </c>
      <c r="P7" s="9">
        <v>12</v>
      </c>
      <c r="Q7" s="9">
        <v>20</v>
      </c>
      <c r="R7" s="9">
        <v>240</v>
      </c>
      <c r="S7" s="9">
        <v>20</v>
      </c>
    </row>
    <row r="8" ht="14.5" spans="1:20">
      <c r="A8" s="8" t="s">
        <v>907</v>
      </c>
      <c r="G8" s="9">
        <f>SUM(G2:G7)</f>
        <v>937</v>
      </c>
      <c r="H8" s="9">
        <f>SUM(H2:H7)</f>
        <v>38280</v>
      </c>
      <c r="L8" s="8" t="s">
        <v>908</v>
      </c>
      <c r="M8" s="8" t="s">
        <v>54</v>
      </c>
      <c r="N8" s="9" t="s">
        <v>25</v>
      </c>
      <c r="O8" s="9">
        <v>1</v>
      </c>
      <c r="P8" s="9">
        <v>12</v>
      </c>
      <c r="Q8" s="9">
        <v>21</v>
      </c>
      <c r="R8" s="9">
        <v>252</v>
      </c>
      <c r="S8" s="9">
        <v>21</v>
      </c>
    </row>
    <row r="9" ht="14.5" spans="1:20">
      <c r="L9" s="8" t="s">
        <v>909</v>
      </c>
      <c r="M9" s="8" t="s">
        <v>54</v>
      </c>
      <c r="N9" s="9" t="s">
        <v>25</v>
      </c>
      <c r="O9" s="9">
        <v>1</v>
      </c>
      <c r="P9" s="9">
        <v>12</v>
      </c>
      <c r="Q9" s="9">
        <v>27</v>
      </c>
      <c r="R9" s="9">
        <v>324</v>
      </c>
      <c r="S9" s="9">
        <v>27</v>
      </c>
    </row>
    <row r="10" ht="14.5" spans="1:20">
      <c r="L10" s="8" t="s">
        <v>910</v>
      </c>
      <c r="M10" s="8" t="s">
        <v>54</v>
      </c>
      <c r="N10" s="9" t="s">
        <v>25</v>
      </c>
      <c r="O10" s="9">
        <v>5</v>
      </c>
      <c r="P10" s="9">
        <v>63</v>
      </c>
      <c r="Q10" s="9">
        <v>15</v>
      </c>
      <c r="R10" s="9">
        <v>945</v>
      </c>
      <c r="S10" s="9">
        <v>15</v>
      </c>
    </row>
    <row r="11" ht="14.5" spans="1:20">
      <c r="L11" s="8" t="s">
        <v>911</v>
      </c>
      <c r="M11" s="8" t="s">
        <v>54</v>
      </c>
      <c r="N11" s="9" t="s">
        <v>25</v>
      </c>
      <c r="O11" s="9">
        <v>1</v>
      </c>
      <c r="P11" s="9">
        <v>9.6</v>
      </c>
      <c r="Q11" s="9">
        <v>16</v>
      </c>
      <c r="R11" s="9">
        <v>153.6</v>
      </c>
      <c r="S11" s="9">
        <v>16</v>
      </c>
    </row>
    <row r="12" ht="14.5" spans="1:20">
      <c r="L12" s="8" t="s">
        <v>912</v>
      </c>
      <c r="M12" s="8" t="s">
        <v>54</v>
      </c>
      <c r="N12" s="9" t="s">
        <v>25</v>
      </c>
      <c r="O12" s="9">
        <v>1</v>
      </c>
      <c r="P12" s="9">
        <v>9.6</v>
      </c>
      <c r="Q12" s="9">
        <v>16</v>
      </c>
      <c r="R12" s="9">
        <v>153.6</v>
      </c>
      <c r="S12" s="9">
        <v>16</v>
      </c>
    </row>
    <row r="13" ht="14.5" spans="1:20">
      <c r="L13" s="8" t="s">
        <v>913</v>
      </c>
      <c r="M13" s="8" t="s">
        <v>54</v>
      </c>
      <c r="N13" s="9" t="s">
        <v>25</v>
      </c>
      <c r="O13" s="9">
        <v>1</v>
      </c>
      <c r="P13" s="9">
        <v>9.6</v>
      </c>
      <c r="Q13" s="9">
        <v>16</v>
      </c>
      <c r="R13" s="9">
        <v>153.6</v>
      </c>
      <c r="S13" s="9">
        <v>16</v>
      </c>
    </row>
    <row r="14" ht="14.5" spans="1:20">
      <c r="L14" s="8" t="s">
        <v>914</v>
      </c>
      <c r="M14" s="8" t="s">
        <v>54</v>
      </c>
      <c r="N14" s="9" t="s">
        <v>25</v>
      </c>
      <c r="O14" s="9">
        <v>1</v>
      </c>
      <c r="P14" s="9">
        <v>9.6</v>
      </c>
      <c r="Q14" s="9">
        <v>16</v>
      </c>
      <c r="R14" s="9">
        <v>153.6</v>
      </c>
      <c r="S14" s="9">
        <v>16</v>
      </c>
    </row>
    <row r="15" ht="14.5" spans="1:20">
      <c r="L15" s="8" t="s">
        <v>915</v>
      </c>
      <c r="M15" s="8" t="s">
        <v>54</v>
      </c>
      <c r="N15" s="9" t="s">
        <v>25</v>
      </c>
      <c r="O15" s="9">
        <v>1</v>
      </c>
      <c r="P15" s="9">
        <v>9.6</v>
      </c>
      <c r="Q15" s="9">
        <v>16</v>
      </c>
      <c r="R15" s="9">
        <v>153.6</v>
      </c>
      <c r="S15" s="9">
        <v>16</v>
      </c>
    </row>
    <row r="16" ht="14.5" spans="1:20">
      <c r="L16" s="8" t="s">
        <v>916</v>
      </c>
      <c r="M16" s="8" t="s">
        <v>54</v>
      </c>
      <c r="N16" s="9" t="s">
        <v>25</v>
      </c>
      <c r="O16" s="9">
        <v>1</v>
      </c>
      <c r="P16" s="9">
        <v>12</v>
      </c>
      <c r="Q16" s="9">
        <v>10</v>
      </c>
      <c r="R16" s="9">
        <v>120</v>
      </c>
      <c r="S16" s="9">
        <v>10</v>
      </c>
    </row>
    <row r="17" ht="14.5" spans="1:20">
      <c r="L17" s="8" t="s">
        <v>917</v>
      </c>
      <c r="M17" s="8" t="s">
        <v>54</v>
      </c>
      <c r="N17" s="9" t="s">
        <v>25</v>
      </c>
      <c r="O17" s="9">
        <v>1</v>
      </c>
      <c r="P17" s="9">
        <v>12</v>
      </c>
      <c r="Q17" s="9">
        <v>50</v>
      </c>
      <c r="R17" s="9">
        <v>600</v>
      </c>
      <c r="S17" s="9">
        <v>50</v>
      </c>
    </row>
    <row r="18" ht="14.5" spans="1:20">
      <c r="L18" s="8" t="s">
        <v>907</v>
      </c>
      <c r="Q18" s="9">
        <f>SUM(Q2:Q17)</f>
        <v>445</v>
      </c>
      <c r="R18" s="9">
        <f>SUM(R2:R17)</f>
        <v>5919</v>
      </c>
      <c r="S18" s="9">
        <f>SUM(S2:S17)</f>
        <v>445</v>
      </c>
    </row>
    <row r="22" ht="52" spans="1:20">
      <c r="A22" s="2" t="s">
        <v>2</v>
      </c>
      <c r="B22" s="3" t="s">
        <v>4</v>
      </c>
      <c r="C22" s="4"/>
      <c r="D22" s="4" t="s">
        <v>8</v>
      </c>
      <c r="E22" s="4" t="s">
        <v>9</v>
      </c>
      <c r="F22" s="4" t="s">
        <v>10</v>
      </c>
      <c r="G22" s="4" t="s">
        <v>11</v>
      </c>
      <c r="H22" s="5" t="s">
        <v>12</v>
      </c>
      <c r="I22" s="4" t="s">
        <v>901</v>
      </c>
      <c r="J22" s="5" t="s">
        <v>902</v>
      </c>
      <c r="L22" s="3" t="s">
        <v>4</v>
      </c>
      <c r="M22" s="4"/>
      <c r="N22" s="4" t="s">
        <v>8</v>
      </c>
      <c r="O22" s="4" t="s">
        <v>9</v>
      </c>
      <c r="P22" s="4" t="s">
        <v>10</v>
      </c>
      <c r="Q22" s="4" t="s">
        <v>11</v>
      </c>
      <c r="R22" s="5" t="s">
        <v>12</v>
      </c>
      <c r="S22" s="5" t="s">
        <v>901</v>
      </c>
      <c r="T22" s="5" t="s">
        <v>902</v>
      </c>
    </row>
    <row r="23" ht="14.5" spans="1:20">
      <c r="A23" s="6">
        <v>45374</v>
      </c>
      <c r="B23" s="8" t="s">
        <v>918</v>
      </c>
      <c r="C23" s="8" t="s">
        <v>720</v>
      </c>
      <c r="D23" s="9" t="s">
        <v>25</v>
      </c>
      <c r="E23" s="9">
        <v>5</v>
      </c>
      <c r="F23" s="9">
        <v>63</v>
      </c>
      <c r="G23" s="9">
        <v>15</v>
      </c>
      <c r="H23" s="9">
        <v>945</v>
      </c>
      <c r="L23" s="8" t="s">
        <v>687</v>
      </c>
      <c r="M23" s="8" t="s">
        <v>31</v>
      </c>
      <c r="N23" s="9" t="s">
        <v>25</v>
      </c>
      <c r="O23" s="9">
        <v>1</v>
      </c>
      <c r="P23" s="9">
        <v>15</v>
      </c>
      <c r="Q23" s="9">
        <v>20</v>
      </c>
      <c r="R23" s="9">
        <v>300</v>
      </c>
      <c r="S23" s="9">
        <v>20</v>
      </c>
    </row>
    <row r="24" ht="14.5" spans="1:20">
      <c r="A24" s="6">
        <v>45386</v>
      </c>
      <c r="B24" s="8" t="s">
        <v>919</v>
      </c>
      <c r="C24" s="8" t="s">
        <v>720</v>
      </c>
      <c r="D24" s="9" t="s">
        <v>25</v>
      </c>
      <c r="E24" s="9">
        <v>5</v>
      </c>
      <c r="F24" s="9">
        <v>63</v>
      </c>
      <c r="G24" s="9">
        <v>15</v>
      </c>
      <c r="H24" s="9">
        <v>945</v>
      </c>
      <c r="L24" s="8" t="s">
        <v>920</v>
      </c>
      <c r="M24" s="8" t="s">
        <v>31</v>
      </c>
      <c r="N24" s="9" t="s">
        <v>25</v>
      </c>
      <c r="O24" s="9">
        <v>1</v>
      </c>
      <c r="P24" s="9">
        <v>15</v>
      </c>
      <c r="Q24" s="9">
        <v>15</v>
      </c>
      <c r="R24" s="9">
        <v>225</v>
      </c>
      <c r="S24" s="9">
        <v>15</v>
      </c>
    </row>
    <row r="25" ht="14.5" spans="1:20">
      <c r="A25" s="6">
        <v>45404</v>
      </c>
      <c r="B25" s="8" t="s">
        <v>921</v>
      </c>
      <c r="C25" s="8" t="s">
        <v>720</v>
      </c>
      <c r="D25" s="9" t="s">
        <v>25</v>
      </c>
      <c r="E25" s="9">
        <v>5</v>
      </c>
      <c r="F25" s="9">
        <v>63</v>
      </c>
      <c r="G25" s="9">
        <v>15</v>
      </c>
      <c r="H25" s="9">
        <v>945</v>
      </c>
      <c r="L25" s="8" t="s">
        <v>922</v>
      </c>
      <c r="M25" s="8" t="s">
        <v>31</v>
      </c>
      <c r="N25" s="9" t="s">
        <v>25</v>
      </c>
      <c r="O25" s="9">
        <v>1</v>
      </c>
      <c r="P25" s="9">
        <v>12</v>
      </c>
      <c r="Q25" s="9">
        <v>20</v>
      </c>
      <c r="R25" s="9">
        <v>240</v>
      </c>
      <c r="S25" s="9">
        <v>20</v>
      </c>
    </row>
    <row r="26" ht="14.5" spans="1:20">
      <c r="A26" s="6">
        <v>45405</v>
      </c>
      <c r="B26" s="8" t="s">
        <v>923</v>
      </c>
      <c r="C26" s="8" t="s">
        <v>720</v>
      </c>
      <c r="D26" s="9" t="s">
        <v>25</v>
      </c>
      <c r="E26" s="9">
        <v>5</v>
      </c>
      <c r="F26" s="9">
        <v>63</v>
      </c>
      <c r="G26" s="9">
        <v>15</v>
      </c>
      <c r="H26" s="9">
        <v>945</v>
      </c>
      <c r="L26" s="8" t="s">
        <v>924</v>
      </c>
      <c r="M26" s="8" t="s">
        <v>31</v>
      </c>
      <c r="N26" s="9" t="s">
        <v>25</v>
      </c>
      <c r="O26" s="9">
        <v>1</v>
      </c>
      <c r="P26" s="9">
        <v>12</v>
      </c>
      <c r="Q26" s="9">
        <v>13</v>
      </c>
      <c r="R26" s="9">
        <v>156</v>
      </c>
      <c r="S26" s="9">
        <v>13</v>
      </c>
    </row>
    <row r="27" ht="14.5" spans="1:20">
      <c r="A27" s="6">
        <v>45440</v>
      </c>
      <c r="B27" s="8" t="s">
        <v>925</v>
      </c>
      <c r="C27" s="8" t="s">
        <v>720</v>
      </c>
      <c r="D27" s="9" t="s">
        <v>25</v>
      </c>
      <c r="E27" s="9">
        <v>5</v>
      </c>
      <c r="F27" s="9">
        <v>63</v>
      </c>
      <c r="G27" s="9">
        <v>10</v>
      </c>
      <c r="H27" s="9">
        <v>630</v>
      </c>
      <c r="L27" s="8" t="s">
        <v>926</v>
      </c>
      <c r="M27" s="8" t="s">
        <v>31</v>
      </c>
      <c r="N27" s="9" t="s">
        <v>25</v>
      </c>
      <c r="O27" s="9">
        <v>1</v>
      </c>
      <c r="P27" s="9">
        <v>12</v>
      </c>
      <c r="Q27" s="9">
        <v>20</v>
      </c>
      <c r="R27" s="9">
        <v>240</v>
      </c>
      <c r="S27" s="9">
        <v>20</v>
      </c>
    </row>
    <row r="28" ht="14.5" spans="1:20">
      <c r="A28" s="6">
        <v>45474</v>
      </c>
      <c r="B28" s="8" t="s">
        <v>927</v>
      </c>
      <c r="C28" s="8" t="s">
        <v>24</v>
      </c>
      <c r="D28" s="9" t="s">
        <v>25</v>
      </c>
      <c r="E28" s="9">
        <v>3</v>
      </c>
      <c r="F28" s="9">
        <v>30</v>
      </c>
      <c r="G28" s="9">
        <v>1</v>
      </c>
      <c r="H28" s="9">
        <v>30</v>
      </c>
      <c r="L28" s="8" t="s">
        <v>928</v>
      </c>
      <c r="M28" s="8" t="s">
        <v>31</v>
      </c>
      <c r="N28" s="9" t="s">
        <v>25</v>
      </c>
      <c r="O28" s="9">
        <v>1</v>
      </c>
      <c r="P28" s="9">
        <v>12</v>
      </c>
      <c r="Q28" s="9">
        <v>10</v>
      </c>
      <c r="R28" s="9">
        <v>120</v>
      </c>
      <c r="S28" s="9">
        <v>10</v>
      </c>
    </row>
    <row r="29" ht="14.5" spans="1:20">
      <c r="A29" s="6">
        <v>45498</v>
      </c>
      <c r="B29" s="8" t="s">
        <v>925</v>
      </c>
      <c r="C29" s="8" t="s">
        <v>720</v>
      </c>
      <c r="D29" s="9" t="s">
        <v>25</v>
      </c>
      <c r="E29" s="9">
        <v>5</v>
      </c>
      <c r="F29" s="9">
        <v>63</v>
      </c>
      <c r="G29" s="9">
        <v>1</v>
      </c>
      <c r="H29" s="9">
        <v>63</v>
      </c>
      <c r="L29" s="8" t="s">
        <v>905</v>
      </c>
      <c r="M29" s="8" t="s">
        <v>31</v>
      </c>
      <c r="N29" s="9" t="s">
        <v>25</v>
      </c>
      <c r="O29" s="9">
        <v>1</v>
      </c>
      <c r="P29" s="9">
        <v>12</v>
      </c>
      <c r="Q29" s="9">
        <v>380</v>
      </c>
      <c r="R29" s="9">
        <v>4560</v>
      </c>
      <c r="S29" s="9">
        <v>380</v>
      </c>
    </row>
    <row r="30" ht="14.5" spans="1:20">
      <c r="A30" s="6">
        <v>45506</v>
      </c>
      <c r="B30" s="8" t="s">
        <v>929</v>
      </c>
      <c r="C30" s="8" t="s">
        <v>24</v>
      </c>
      <c r="D30" s="9" t="s">
        <v>25</v>
      </c>
      <c r="E30" s="9">
        <v>3</v>
      </c>
      <c r="F30" s="9">
        <v>30</v>
      </c>
      <c r="G30" s="9">
        <v>1</v>
      </c>
      <c r="H30" s="9">
        <v>30</v>
      </c>
      <c r="L30" s="8" t="s">
        <v>907</v>
      </c>
      <c r="Q30" s="9">
        <f>SUM(Q23:Q29)</f>
        <v>478</v>
      </c>
      <c r="R30" s="9">
        <f>SUM(R23:R29)</f>
        <v>5841</v>
      </c>
      <c r="S30" s="9">
        <f>SUM(S23:S29)</f>
        <v>478</v>
      </c>
    </row>
    <row r="31" ht="14.5" spans="1:20">
      <c r="A31" s="6">
        <v>45506</v>
      </c>
      <c r="B31" s="8" t="s">
        <v>930</v>
      </c>
      <c r="C31" s="8" t="s">
        <v>24</v>
      </c>
      <c r="D31" s="9" t="s">
        <v>25</v>
      </c>
      <c r="E31" s="9">
        <v>3</v>
      </c>
      <c r="F31" s="9">
        <v>30</v>
      </c>
      <c r="G31" s="9">
        <v>1</v>
      </c>
      <c r="H31" s="9">
        <v>30</v>
      </c>
      <c r="Q31" s="9">
        <f>Q18+Q30</f>
        <v>923</v>
      </c>
      <c r="R31" s="9">
        <f>R18+R30</f>
        <v>11760</v>
      </c>
    </row>
    <row r="32" ht="14.5" spans="1:20">
      <c r="A32" s="6">
        <v>45526</v>
      </c>
      <c r="B32" s="8" t="s">
        <v>931</v>
      </c>
      <c r="C32" s="8" t="s">
        <v>720</v>
      </c>
      <c r="D32" s="9" t="s">
        <v>25</v>
      </c>
      <c r="E32" s="9">
        <v>5</v>
      </c>
      <c r="F32" s="9">
        <v>63</v>
      </c>
      <c r="G32" s="9">
        <v>10</v>
      </c>
      <c r="H32" s="9">
        <v>630</v>
      </c>
    </row>
    <row r="33" ht="14.5" spans="1:17">
      <c r="A33" s="6">
        <v>45562</v>
      </c>
      <c r="B33" s="8" t="s">
        <v>932</v>
      </c>
      <c r="C33" s="8" t="s">
        <v>720</v>
      </c>
      <c r="D33" s="9" t="s">
        <v>25</v>
      </c>
      <c r="E33" s="9">
        <v>5</v>
      </c>
      <c r="F33" s="9">
        <v>63</v>
      </c>
      <c r="G33" s="9">
        <v>10</v>
      </c>
      <c r="H33" s="9">
        <v>630</v>
      </c>
    </row>
    <row r="34" ht="14.5" spans="1:17">
      <c r="A34" s="6">
        <v>45574</v>
      </c>
      <c r="B34" s="8" t="s">
        <v>933</v>
      </c>
      <c r="C34" s="8" t="s">
        <v>24</v>
      </c>
      <c r="D34" s="9" t="s">
        <v>25</v>
      </c>
      <c r="E34" s="9">
        <v>3</v>
      </c>
      <c r="F34" s="9">
        <v>33</v>
      </c>
      <c r="G34" s="9">
        <v>100</v>
      </c>
      <c r="H34" s="9">
        <v>3300</v>
      </c>
    </row>
    <row r="35" ht="14.5" spans="1:17">
      <c r="A35" s="6">
        <v>45576</v>
      </c>
      <c r="B35" s="8" t="s">
        <v>934</v>
      </c>
      <c r="C35" s="8" t="s">
        <v>720</v>
      </c>
      <c r="D35" s="9" t="s">
        <v>25</v>
      </c>
      <c r="E35" s="9">
        <v>5</v>
      </c>
      <c r="F35" s="9">
        <v>63</v>
      </c>
      <c r="G35" s="9">
        <v>20</v>
      </c>
      <c r="H35" s="9">
        <v>1260</v>
      </c>
    </row>
    <row r="36" ht="14.5" spans="1:17">
      <c r="A36" s="8" t="s">
        <v>907</v>
      </c>
      <c r="G36" s="9">
        <f>SUM(G23:G35)</f>
        <v>214</v>
      </c>
      <c r="H36" s="9">
        <f>SUM(H23:H35)</f>
        <v>10383</v>
      </c>
    </row>
    <row r="37" spans="1:17">
      <c r="A37" s="10"/>
    </row>
    <row r="38" ht="14.5" spans="1:17">
      <c r="L38" s="8"/>
      <c r="M38" s="8"/>
      <c r="N38" s="8"/>
      <c r="O38" s="8"/>
      <c r="P38" s="8"/>
    </row>
    <row r="39" ht="14.5" spans="1:17">
      <c r="L39" s="8" t="s">
        <v>935</v>
      </c>
      <c r="M39" s="8" t="s">
        <v>745</v>
      </c>
      <c r="N39" s="8" t="s">
        <v>936</v>
      </c>
      <c r="O39" s="8" t="s">
        <v>937</v>
      </c>
      <c r="P39" s="8" t="s">
        <v>936</v>
      </c>
      <c r="Q39" s="8"/>
    </row>
    <row r="40" ht="14.5" spans="1:17">
      <c r="L40" s="8" t="s">
        <v>748</v>
      </c>
      <c r="M40" s="8">
        <v>937</v>
      </c>
      <c r="N40" s="11">
        <f>M40/M43</f>
        <v>0.451783992285439</v>
      </c>
      <c r="O40" s="8">
        <v>38280</v>
      </c>
      <c r="P40" s="11">
        <f>O40/O43</f>
        <v>0.633533588203168</v>
      </c>
      <c r="Q40" s="8"/>
    </row>
    <row r="41" ht="14.5" spans="1:17">
      <c r="L41" s="8" t="s">
        <v>938</v>
      </c>
      <c r="M41" s="8">
        <v>923</v>
      </c>
      <c r="N41" s="11">
        <f>M41/M43</f>
        <v>0.4450337512054</v>
      </c>
      <c r="O41" s="8">
        <v>11760</v>
      </c>
      <c r="P41" s="11">
        <f>O41/O43</f>
        <v>0.194627873491882</v>
      </c>
      <c r="Q41" s="8"/>
    </row>
    <row r="42" ht="14.5" spans="1:17">
      <c r="L42" s="8" t="s">
        <v>939</v>
      </c>
      <c r="M42" s="8">
        <v>214</v>
      </c>
      <c r="N42" s="11">
        <f>M42/M43</f>
        <v>0.103182256509161</v>
      </c>
      <c r="O42" s="8">
        <v>10383</v>
      </c>
      <c r="P42" s="11">
        <f>O42/O43</f>
        <v>0.17183853830495</v>
      </c>
      <c r="Q42" s="8"/>
    </row>
    <row r="43" ht="14.5" spans="1:17">
      <c r="M43" s="8">
        <f>SUM(M40:M42)</f>
        <v>2074</v>
      </c>
      <c r="N43" s="11"/>
      <c r="O43" s="8">
        <f>SUM(O40:O42)</f>
        <v>60423</v>
      </c>
      <c r="P43" s="11"/>
    </row>
  </sheetData>
  <sheetProtection formatCells="0" formatColumns="0" formatRows="0" insertRows="0" insertColumns="0" insertHyperlinks="0" deleteColumns="0" deleteRows="0" sort="0" autoFilter="0" pivotTables="0"/>
  <dataValidations count="4">
    <dataValidation type="date" operator="greaterThanOrEqual" allowBlank="1" showErrorMessage="1" errorTitle="输入内容有误" error="请输入正确的日期" sqref="A2:A7 A23:A35">
      <formula1>1</formula1>
    </dataValidation>
    <dataValidation type="list" allowBlank="1" showErrorMessage="1" errorTitle="错误提示" error="请输入下拉列表中的一个值" sqref="C1:C7 C22:C35 M1:M17 M22:M29" errorStyle="information">
      <formula1>汇总表!$A$56:$A$72</formula1>
    </dataValidation>
    <dataValidation type="list" allowBlank="1" showInputMessage="1" showErrorMessage="1" sqref="D2:D7 D23:D35 N2:N17 N23:N29">
      <formula1>"Rental,Lifetime"</formula1>
    </dataValidation>
    <dataValidation type="list" allowBlank="1" showErrorMessage="1" errorTitle="错误提示" error="请输入下拉列表中的一个值" sqref="E1:E7 E22:E35 O1:O17 O22:O29">
      <formula1>"1,2,3,5,10,lifetime"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��=���=���=���=���=���=���=���=���=���=���=���=���=���=���=���=���
</file>

<file path=customXml/item3.xml>��
</file>

<file path=customXml/itemProps1.xml><?xml version="1.0" encoding="utf-8"?>
<ds:datastoreItem xmlns:ds="http://schemas.openxmlformats.org/officeDocument/2006/customXml" ds:itemID="{D5662047-3127-477A-AC3A-1D340467FB4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WWO_wpscloud_20260409124150-2e61b06350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明细表</vt:lpstr>
      <vt:lpstr>明细表（20240116备查）</vt:lpstr>
      <vt:lpstr>汇总表</vt:lpstr>
      <vt:lpstr>lion grup</vt:lpstr>
      <vt:lpstr>PT Industri Kereta Api (INKA) </vt:lpstr>
      <vt:lpstr>PT Timah Tbk</vt:lpstr>
      <vt:lpstr>PT. Avia Avian, Tbk</vt:lpstr>
      <vt:lpstr>PT Prodia Widyahusada</vt:lpstr>
      <vt:lpstr>PT Promanufacture Indonesia</vt:lpstr>
      <vt:lpstr>SUPER JET GROUP</vt:lpstr>
      <vt:lpstr>2024年masindo汇总</vt:lpstr>
      <vt:lpstr>Agung Sedayu Group（977-1year）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zrj91</dc:creator>
  <cp:lastModifiedBy>侯军</cp:lastModifiedBy>
  <dcterms:created xsi:type="dcterms:W3CDTF">2024-12-31T09:59:00Z</dcterms:created>
  <dcterms:modified xsi:type="dcterms:W3CDTF">2026-04-22T01:55:16Z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4827770A78DD4903944E26CC4C5AB63B_11</vt:lpwstr>
  </property>
  <property fmtid="{D5CDD505-2E9C-101B-9397-08002B2CF9AE}" pid="3" name="KSOProductBuildVer">
    <vt:lpwstr>2052-12.1.4.25785</vt:lpwstr>
  </property>
  <property fmtid="{D5CDD505-2E9C-101B-9397-08002B2CF9AE}" pid="4" name="CalculationRule">
    <vt:i4>0</vt:i4>
  </property>
</Properties>
</file>